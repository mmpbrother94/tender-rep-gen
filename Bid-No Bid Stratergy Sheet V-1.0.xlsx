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D:\Format\"/>
    </mc:Choice>
  </mc:AlternateContent>
  <xr:revisionPtr revIDLastSave="0" documentId="13_ncr:1_{B9302017-7ECF-4A0A-A328-98B07B410CD9}" xr6:coauthVersionLast="47" xr6:coauthVersionMax="47" xr10:uidLastSave="{00000000-0000-0000-0000-000000000000}"/>
  <bookViews>
    <workbookView xWindow="-108" yWindow="-108" windowWidth="23256" windowHeight="12456" xr2:uid="{C4F1D330-D6EB-4476-BFB4-9D0DA125A6BE}"/>
  </bookViews>
  <sheets>
    <sheet name="Bid_NoBid_Strategy Shee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A">#REF!</definedName>
    <definedName name="\B">#REF!</definedName>
    <definedName name="\C">#REF!</definedName>
    <definedName name="\M">#REF!</definedName>
    <definedName name="\N">#REF!</definedName>
    <definedName name="\P">#REF!</definedName>
    <definedName name="\R">#REF!</definedName>
    <definedName name="\S">#REF!</definedName>
    <definedName name="\U">#REF!</definedName>
    <definedName name="\V">#REF!</definedName>
    <definedName name="___BAA1">#REF!</definedName>
    <definedName name="___BOQ66">#REF!</definedName>
    <definedName name="__BAA1">#REF!</definedName>
    <definedName name="__BOQ66">#REF!</definedName>
    <definedName name="_1__Excel_BuiltIn_Print_Area_10_1">'[1]Scheme Area Details_Block__ C2'!#REF!</definedName>
    <definedName name="_10__Excel_BuiltIn_Print_Area_3_1">#REF!</definedName>
    <definedName name="_11__Excel_BuiltIn_Print_Area_3_1_1">#REF!</definedName>
    <definedName name="_11Excel_BuiltIn_Print_Titles_6_1_1">#REF!</definedName>
    <definedName name="_12__Excel_BuiltIn_Print_Area_3_1_1_1">#REF!</definedName>
    <definedName name="_13__Excel_BuiltIn_Print_Area_3_1_1_1_1">#REF!</definedName>
    <definedName name="_14__Excel_BuiltIn_Print_Area_4_1_1_1_1">#REF!</definedName>
    <definedName name="_15__Excel_BuiltIn_Print_Area_5_1_1_1">#REF!</definedName>
    <definedName name="_16__Excel_BuiltIn_Print_Area_5_1_1_1_1">#REF!</definedName>
    <definedName name="_17__Excel_BuiltIn_Print_Area_7_1_1_1_1">#REF!</definedName>
    <definedName name="_18__Excel_BuiltIn_Print_Area_8_1_1_1_1">#REF!</definedName>
    <definedName name="_19__Excel_BuiltIn_Print_Area_9_1">#REF!</definedName>
    <definedName name="_1Excel_BuiltIn_Print_Area_2_1_1_1">#REF!</definedName>
    <definedName name="_1Excel_BuiltIn_Print_Area_4_1_1">#REF!</definedName>
    <definedName name="_2__Excel_BuiltIn_Print_Area_12_1_1_1_1">#REF!</definedName>
    <definedName name="_2Excel_BuiltIn_Print_Area_2_1_1_1_1_1_1_1_1_1_1_1">#REF!</definedName>
    <definedName name="_2Excel_BuiltIn_Print_Area_4_1_1_1">"$#REF!.$A$1:$G$53"</definedName>
    <definedName name="_3__Excel_BuiltIn_Print_Area_16_1_1_1_1">#REF!</definedName>
    <definedName name="_3Excel_BuiltIn_Print_Area_3_1_1_1_1_1_1_1_1_1">#REF!</definedName>
    <definedName name="_3Excel_BuiltIn_Print_Area_5_1_1_1">"$#REF!.$A$1:$G$59"</definedName>
    <definedName name="_3Excel_BuiltIn_Print_Area_6_1_1">#REF!</definedName>
    <definedName name="_4__Excel_BuiltIn_Print_Area_17_1_1_1_1">#REF!</definedName>
    <definedName name="_4Excel_BuiltIn_Print_Area_5_1_1_1_1">#REF!</definedName>
    <definedName name="_5__Excel_BuiltIn_Print_Area_18_1">#REF!</definedName>
    <definedName name="_5Excel_BuiltIn_Print_Area_5_1_1_1_1_1_1">#REF!</definedName>
    <definedName name="_5Excel_BuiltIn_Print_Titles_1_1">([2]MAND_Spares_KONARK_SCHD_3!$A$1:$D$65536,[2]MAND_Spares_KONARK_SCHD_3!$A$9:$IV$11)</definedName>
    <definedName name="_6__Excel_BuiltIn_Print_Area_2_1">#REF!</definedName>
    <definedName name="_6382">#REF!</definedName>
    <definedName name="_7__Excel_BuiltIn_Print_Area_2_1_1_1">#REF!</definedName>
    <definedName name="_8__Excel_BuiltIn_Print_Area_2_1_1_1_1">#REF!</definedName>
    <definedName name="_8Excel_BuiltIn_Print_Titles_5_1_1">#REF!</definedName>
    <definedName name="_9__Excel_BuiltIn_Print_Area_2_1_1_1_1_1">#REF!</definedName>
    <definedName name="_BAA1">#REF!</definedName>
    <definedName name="_BOQ66">#REF!</definedName>
    <definedName name="_III7">"$C4.$#REF!$#REF!"</definedName>
    <definedName name="_S">#REF!</definedName>
    <definedName name="A">#REF!</definedName>
    <definedName name="AA">#REF!</definedName>
    <definedName name="ab">#REF!</definedName>
    <definedName name="abc">#REF!</definedName>
    <definedName name="an">#REF!</definedName>
    <definedName name="ann">#REF!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[3]IDCCALHYD_GOO!$A$47:$U$92</definedName>
    <definedName name="ANYOTHERCOST">[4]Sheet2!$D$19:$F$19</definedName>
    <definedName name="B">#REF!</definedName>
    <definedName name="Barwani">'[5]Format-A (B)'!$C$41</definedName>
    <definedName name="Barwani_Division">[5]Sheet1!$C$102</definedName>
    <definedName name="Barwanicircle">'[5]Format-A'!$C$41</definedName>
    <definedName name="BarwaniDHQ">'[5]Format-A (HQ)'!$C$41</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OISAR_BAYWISE">#REF!</definedName>
    <definedName name="boq_type">#REF!</definedName>
    <definedName name="boq_version">[6]Config!$C$2:$C$3</definedName>
    <definedName name="C_">#REF!</definedName>
    <definedName name="Case1">[7]Schedule1!$S$1:$U$1</definedName>
    <definedName name="Case2">[7]Schedule1!$S$1:$T$1</definedName>
    <definedName name="Census_of_India_2001">#REF!</definedName>
    <definedName name="conversion_type">[6]Config!$E$2:$E$3</definedName>
    <definedName name="cstvat">#REF!</definedName>
    <definedName name="currency_name">[6]Config!$F$2:$F$8</definedName>
    <definedName name="CUSTOMER">[4]Sheet2!$D$14:$E$14</definedName>
    <definedName name="D">#REF!</definedName>
    <definedName name="dada">[8]DREV!#REF!</definedName>
    <definedName name="DEHRI">#REF!</definedName>
    <definedName name="dfsga">#REF!</definedName>
    <definedName name="Difference">'[5]Sheet2 (2)'!$R$8:$R$12</definedName>
    <definedName name="domestic_global">#REF!</definedName>
    <definedName name="E">#REF!</definedName>
    <definedName name="EHV">#REF!</definedName>
    <definedName name="EMD">[4]Sheet2!$D$18:$G$18</definedName>
    <definedName name="erc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[8]DREV!#REF!</definedName>
    <definedName name="Excel_BuiltIn__FilterDatabase_14_16_16">[8]DREV!#REF!</definedName>
    <definedName name="Excel_BuiltIn__FilterDatabase_14_16_2">[8]DREV!#REF!</definedName>
    <definedName name="Excel_BuiltIn__FilterDatabase_14_16_27">[8]DREV!#REF!</definedName>
    <definedName name="Excel_BuiltIn__FilterDatabase_14_16_4">[8]DREV!#REF!</definedName>
    <definedName name="Excel_BuiltIn__FilterDatabase_14_16_5">[8]DREV!#REF!</definedName>
    <definedName name="Excel_BuiltIn__FilterDatabase_23">#REF!</definedName>
    <definedName name="Excel_BuiltIn__FilterDatabase_26">[9]Form_E6!#REF!</definedName>
    <definedName name="Excel_BuiltIn__FilterDatabase_26_16">[10]E6!#REF!</definedName>
    <definedName name="Excel_BuiltIn__FilterDatabase_26_2">[10]E6!#REF!</definedName>
    <definedName name="Excel_BuiltIn__FilterDatabase_26_27">[10]E6!#REF!</definedName>
    <definedName name="Excel_BuiltIn__FilterDatabase_26_4">[10]E6!#REF!</definedName>
    <definedName name="Excel_BuiltIn__FilterDatabase_28">[9]E8!#REF!</definedName>
    <definedName name="Excel_BuiltIn__FilterDatabase_28_16">[10]E8!#REF!</definedName>
    <definedName name="Excel_BuiltIn__FilterDatabase_28_2">[10]E8!#REF!</definedName>
    <definedName name="Excel_BuiltIn__FilterDatabase_28_27">[10]E8!#REF!</definedName>
    <definedName name="Excel_BuiltIn__FilterDatabase_28_4">[10]E8!#REF!</definedName>
    <definedName name="Excel_BuiltIn__FilterDatabase_31_1">[9]E11!#REF!</definedName>
    <definedName name="Excel_BuiltIn__FilterDatabase_31_16">[10]E11!#REF!</definedName>
    <definedName name="Excel_BuiltIn__FilterDatabase_31_2">[10]E11!#REF!</definedName>
    <definedName name="Excel_BuiltIn__FilterDatabase_31_27">[10]E11!#REF!</definedName>
    <definedName name="Excel_BuiltIn__FilterDatabase_31_4">[10]E11!#REF!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[8]CREV!#REF!</definedName>
    <definedName name="Excel_BuiltIn__FilterDatabase_7_8_16">[8]CREV!#REF!</definedName>
    <definedName name="Excel_BuiltIn__FilterDatabase_7_8_2">[8]CREV!#REF!</definedName>
    <definedName name="Excel_BuiltIn__FilterDatabase_7_8_27">[8]CREV!#REF!</definedName>
    <definedName name="Excel_BuiltIn__FilterDatabase_7_8_4">[8]CREV!#REF!</definedName>
    <definedName name="Excel_BuiltIn__FilterDatabase_7_8_5">[8]CREV!#REF!</definedName>
    <definedName name="Excel_BuiltIn_Database_0">"$#REF!.$A$1:$N$4078"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'[1]Scheme Area Details_Block__ C2'!#REF!</definedName>
    <definedName name="Excel_BuiltIn_Print_Area_10_1">'[11]Scheme Area Details_Block__ C2'!#REF!</definedName>
    <definedName name="Excel_BuiltIn_Print_Area_10_1_1">#REF!</definedName>
    <definedName name="Excel_BuiltIn_Print_Area_10_1_1_1">#REF!</definedName>
    <definedName name="Excel_BuiltIn_Print_Area_10_1_1_1_1">'[12]Scheme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'[12]Scheme Area Details_Block__ C2'!#REF!</definedName>
    <definedName name="Excel_BuiltIn_Print_Area_10_1_1_16_1">#REF!</definedName>
    <definedName name="Excel_BuiltIn_Print_Area_10_1_1_2">'[12]Scheme Area Details_Block__ C2'!#REF!</definedName>
    <definedName name="Excel_BuiltIn_Print_Area_10_1_1_2_1">#REF!</definedName>
    <definedName name="Excel_BuiltIn_Print_Area_10_1_1_27">'[12]Scheme Area Details_Block__ C2'!#REF!</definedName>
    <definedName name="Excel_BuiltIn_Print_Area_10_1_1_27_1">'[13]Scheme Area Details_Block__ C2'!#REF!</definedName>
    <definedName name="Excel_BuiltIn_Print_Area_10_1_1_4">'[12]Scheme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'[12]Scheme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'[12]Scheme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'[14]Scheme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'[15]Scheme Area Details_Block__ C2'!#REF!</definedName>
    <definedName name="Excel_BuiltIn_Print_Area_10_1_4_1">'[12]Scheme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'[15]Scheme Area Details_Block__ C2'!#REF!</definedName>
    <definedName name="Excel_BuiltIn_Print_Area_10_2">'[15]Scheme Area Details_Block__ C2'!#REF!</definedName>
    <definedName name="Excel_BuiltIn_Print_Area_10_27">'[15]Scheme Area Details_Block__ C2'!#REF!</definedName>
    <definedName name="Excel_BuiltIn_Print_Area_10_4">'[15]Scheme Area Details_Block__ C2'!#REF!</definedName>
    <definedName name="Excel_BuiltIn_Print_Area_10_8">'[16]Scheme Area Details_Block__ C2'!#REF!</definedName>
    <definedName name="Excel_BuiltIn_Print_Area_10_8_16">'[16]Scheme Area Details_Block__ C2'!#REF!</definedName>
    <definedName name="Excel_BuiltIn_Print_Area_10_8_2">'[16]Scheme Area Details_Block__ C2'!#REF!</definedName>
    <definedName name="Excel_BuiltIn_Print_Area_10_8_27">'[16]Scheme Area Details_Block__ C2'!#REF!</definedName>
    <definedName name="Excel_BuiltIn_Print_Area_10_8_4">'[16]Scheme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[11]New33KVSS_E3!#REF!</definedName>
    <definedName name="Excel_BuiltIn_Print_Area_28_1">[1]New33KVSS_E3!#REF!</definedName>
    <definedName name="Excel_BuiltIn_Print_Area_28_1_1">[15]New33KVSS_E3!#REF!</definedName>
    <definedName name="Excel_BuiltIn_Print_Area_28_1_16">[15]New33KVSS_E3!#REF!</definedName>
    <definedName name="Excel_BuiltIn_Print_Area_28_1_2">[15]New33KVSS_E3!#REF!</definedName>
    <definedName name="Excel_BuiltIn_Print_Area_28_1_27">[14]New33KVSS_E3!#REF!</definedName>
    <definedName name="Excel_BuiltIn_Print_Area_28_1_4">[15]New33KVSS_E3!#REF!</definedName>
    <definedName name="Excel_BuiltIn_Print_Area_28_10">[1]New33KVSS_E3!#REF!</definedName>
    <definedName name="Excel_BuiltIn_Print_Area_28_10_16">[15]New33KVSS_E3!#REF!</definedName>
    <definedName name="Excel_BuiltIn_Print_Area_28_10_2">[15]New33KVSS_E3!#REF!</definedName>
    <definedName name="Excel_BuiltIn_Print_Area_28_10_27">[14]New33KVSS_E3!#REF!</definedName>
    <definedName name="Excel_BuiltIn_Print_Area_28_10_4">[15]New33KVSS_E3!#REF!</definedName>
    <definedName name="Excel_BuiltIn_Print_Area_28_11">[1]New33KVSS_E3!#REF!</definedName>
    <definedName name="Excel_BuiltIn_Print_Area_28_11_16">[15]New33KVSS_E3!#REF!</definedName>
    <definedName name="Excel_BuiltIn_Print_Area_28_11_2">[15]New33KVSS_E3!#REF!</definedName>
    <definedName name="Excel_BuiltIn_Print_Area_28_11_27">[14]New33KVSS_E3!#REF!</definedName>
    <definedName name="Excel_BuiltIn_Print_Area_28_11_4">[15]New33KVSS_E3!#REF!</definedName>
    <definedName name="Excel_BuiltIn_Print_Area_28_12">[1]New33KVSS_E3!#REF!</definedName>
    <definedName name="Excel_BuiltIn_Print_Area_28_12_16">[15]New33KVSS_E3!#REF!</definedName>
    <definedName name="Excel_BuiltIn_Print_Area_28_12_2">[15]New33KVSS_E3!#REF!</definedName>
    <definedName name="Excel_BuiltIn_Print_Area_28_12_27">[14]New33KVSS_E3!#REF!</definedName>
    <definedName name="Excel_BuiltIn_Print_Area_28_12_4">[15]New33KVSS_E3!#REF!</definedName>
    <definedName name="Excel_BuiltIn_Print_Area_28_13">[1]New33KVSS_E3!#REF!</definedName>
    <definedName name="Excel_BuiltIn_Print_Area_28_13_16">[15]New33KVSS_E3!#REF!</definedName>
    <definedName name="Excel_BuiltIn_Print_Area_28_13_2">[15]New33KVSS_E3!#REF!</definedName>
    <definedName name="Excel_BuiltIn_Print_Area_28_13_27">[14]New33KVSS_E3!#REF!</definedName>
    <definedName name="Excel_BuiltIn_Print_Area_28_13_4">[15]New33KVSS_E3!#REF!</definedName>
    <definedName name="Excel_BuiltIn_Print_Area_28_14">[1]New33KVSS_E3!#REF!</definedName>
    <definedName name="Excel_BuiltIn_Print_Area_28_14_16">[15]New33KVSS_E3!#REF!</definedName>
    <definedName name="Excel_BuiltIn_Print_Area_28_14_2">[15]New33KVSS_E3!#REF!</definedName>
    <definedName name="Excel_BuiltIn_Print_Area_28_14_27">[14]New33KVSS_E3!#REF!</definedName>
    <definedName name="Excel_BuiltIn_Print_Area_28_14_4">[15]New33KVSS_E3!#REF!</definedName>
    <definedName name="Excel_BuiltIn_Print_Area_28_15">[1]New33KVSS_E3!#REF!</definedName>
    <definedName name="Excel_BuiltIn_Print_Area_28_15_16">[15]New33KVSS_E3!#REF!</definedName>
    <definedName name="Excel_BuiltIn_Print_Area_28_15_2">[15]New33KVSS_E3!#REF!</definedName>
    <definedName name="Excel_BuiltIn_Print_Area_28_15_27">[14]New33KVSS_E3!#REF!</definedName>
    <definedName name="Excel_BuiltIn_Print_Area_28_15_4">[15]New33KVSS_E3!#REF!</definedName>
    <definedName name="Excel_BuiltIn_Print_Area_28_16">[1]New33KVSS_E3!#REF!</definedName>
    <definedName name="Excel_BuiltIn_Print_Area_28_16_1">[15]New33KVSS_E3!#REF!</definedName>
    <definedName name="Excel_BuiltIn_Print_Area_28_16_16">[15]New33KVSS_E3!#REF!</definedName>
    <definedName name="Excel_BuiltIn_Print_Area_28_16_2">[15]New33KVSS_E3!#REF!</definedName>
    <definedName name="Excel_BuiltIn_Print_Area_28_16_27">[14]New33KVSS_E3!#REF!</definedName>
    <definedName name="Excel_BuiltIn_Print_Area_28_16_4">[15]New33KVSS_E3!#REF!</definedName>
    <definedName name="Excel_BuiltIn_Print_Area_28_17">[1]New33KVSS_E3!#REF!</definedName>
    <definedName name="Excel_BuiltIn_Print_Area_28_17_16">[15]New33KVSS_E3!#REF!</definedName>
    <definedName name="Excel_BuiltIn_Print_Area_28_17_2">[15]New33KVSS_E3!#REF!</definedName>
    <definedName name="Excel_BuiltIn_Print_Area_28_17_27">[14]New33KVSS_E3!#REF!</definedName>
    <definedName name="Excel_BuiltIn_Print_Area_28_17_4">[15]New33KVSS_E3!#REF!</definedName>
    <definedName name="Excel_BuiltIn_Print_Area_28_2">[1]New33KVSS_E3!#REF!</definedName>
    <definedName name="Excel_BuiltIn_Print_Area_28_2_1">[15]New33KVSS_E3!#REF!</definedName>
    <definedName name="Excel_BuiltIn_Print_Area_28_2_16">[15]New33KVSS_E3!#REF!</definedName>
    <definedName name="Excel_BuiltIn_Print_Area_28_2_2">[15]New33KVSS_E3!#REF!</definedName>
    <definedName name="Excel_BuiltIn_Print_Area_28_2_27">[14]New33KVSS_E3!#REF!</definedName>
    <definedName name="Excel_BuiltIn_Print_Area_28_2_4">[15]New33KVSS_E3!#REF!</definedName>
    <definedName name="Excel_BuiltIn_Print_Area_28_20">[1]New33KVSS_E3!#REF!</definedName>
    <definedName name="Excel_BuiltIn_Print_Area_28_20_16">[15]New33KVSS_E3!#REF!</definedName>
    <definedName name="Excel_BuiltIn_Print_Area_28_20_2">[15]New33KVSS_E3!#REF!</definedName>
    <definedName name="Excel_BuiltIn_Print_Area_28_20_27">[14]New33KVSS_E3!#REF!</definedName>
    <definedName name="Excel_BuiltIn_Print_Area_28_20_4">[15]New33KVSS_E3!#REF!</definedName>
    <definedName name="Excel_BuiltIn_Print_Area_28_27">[13]New33KVSS_E3!#REF!</definedName>
    <definedName name="Excel_BuiltIn_Print_Area_28_3">[1]New33KVSS_E3!#REF!</definedName>
    <definedName name="Excel_BuiltIn_Print_Area_28_3_16">[15]New33KVSS_E3!#REF!</definedName>
    <definedName name="Excel_BuiltIn_Print_Area_28_3_2">[15]New33KVSS_E3!#REF!</definedName>
    <definedName name="Excel_BuiltIn_Print_Area_28_3_27">[14]New33KVSS_E3!#REF!</definedName>
    <definedName name="Excel_BuiltIn_Print_Area_28_3_4">[15]New33KVSS_E3!#REF!</definedName>
    <definedName name="Excel_BuiltIn_Print_Area_28_4">[12]New33KVSS_E3!#REF!</definedName>
    <definedName name="Excel_BuiltIn_Print_Area_28_5">[1]New33KVSS_E3!#REF!</definedName>
    <definedName name="Excel_BuiltIn_Print_Area_28_5_16">[15]New33KVSS_E3!#REF!</definedName>
    <definedName name="Excel_BuiltIn_Print_Area_28_5_2">[15]New33KVSS_E3!#REF!</definedName>
    <definedName name="Excel_BuiltIn_Print_Area_28_5_27">[14]New33KVSS_E3!#REF!</definedName>
    <definedName name="Excel_BuiltIn_Print_Area_28_5_4">[15]New33KVSS_E3!#REF!</definedName>
    <definedName name="Excel_BuiltIn_Print_Area_28_6">[1]New33KVSS_E3!#REF!</definedName>
    <definedName name="Excel_BuiltIn_Print_Area_28_6_16">[15]New33KVSS_E3!#REF!</definedName>
    <definedName name="Excel_BuiltIn_Print_Area_28_6_2">[15]New33KVSS_E3!#REF!</definedName>
    <definedName name="Excel_BuiltIn_Print_Area_28_6_27">[14]New33KVSS_E3!#REF!</definedName>
    <definedName name="Excel_BuiltIn_Print_Area_28_6_4">[15]New33KVSS_E3!#REF!</definedName>
    <definedName name="Excel_BuiltIn_Print_Area_28_7">[1]New33KVSS_E3!#REF!</definedName>
    <definedName name="Excel_BuiltIn_Print_Area_28_7_16">[15]New33KVSS_E3!#REF!</definedName>
    <definedName name="Excel_BuiltIn_Print_Area_28_7_2">[15]New33KVSS_E3!#REF!</definedName>
    <definedName name="Excel_BuiltIn_Print_Area_28_7_27">[14]New33KVSS_E3!#REF!</definedName>
    <definedName name="Excel_BuiltIn_Print_Area_28_7_4">[15]New33KVSS_E3!#REF!</definedName>
    <definedName name="Excel_BuiltIn_Print_Area_28_8">[1]New33KVSS_E3!#REF!</definedName>
    <definedName name="Excel_BuiltIn_Print_Area_28_8_16">[15]New33KVSS_E3!#REF!</definedName>
    <definedName name="Excel_BuiltIn_Print_Area_28_8_2">[15]New33KVSS_E3!#REF!</definedName>
    <definedName name="Excel_BuiltIn_Print_Area_28_8_27">[14]New33KVSS_E3!#REF!</definedName>
    <definedName name="Excel_BuiltIn_Print_Area_28_8_4">[15]New33KVSS_E3!#REF!</definedName>
    <definedName name="Excel_BuiltIn_Print_Area_28_9">[1]New33KVSS_E3!#REF!</definedName>
    <definedName name="Excel_BuiltIn_Print_Area_28_9_16">[15]New33KVSS_E3!#REF!</definedName>
    <definedName name="Excel_BuiltIn_Print_Area_28_9_2">[15]New33KVSS_E3!#REF!</definedName>
    <definedName name="Excel_BuiltIn_Print_Area_28_9_27">[14]New33KVSS_E3!#REF!</definedName>
    <definedName name="Excel_BuiltIn_Print_Area_28_9_4">[15]New33KVSS_E3!#REF!</definedName>
    <definedName name="Excel_BuiltIn_Print_Area_29">'[11]Prop aug of Ex 33KVSS_E3a'!#REF!</definedName>
    <definedName name="Excel_BuiltIn_Print_Area_29_1">'[1]Prop aug of Ex 33KVSS_E3a'!#REF!</definedName>
    <definedName name="Excel_BuiltIn_Print_Area_29_1_1">'[15]Prop aug of Ex 33KVSS_E3a'!#REF!</definedName>
    <definedName name="Excel_BuiltIn_Print_Area_29_1_16">'[15]Prop aug of Ex 33KVSS_E3a'!#REF!</definedName>
    <definedName name="Excel_BuiltIn_Print_Area_29_1_2">'[15]Prop aug of Ex 33KVSS_E3a'!#REF!</definedName>
    <definedName name="Excel_BuiltIn_Print_Area_29_1_27">'[14]Prop aug of Ex 33KVSS_E3a'!#REF!</definedName>
    <definedName name="Excel_BuiltIn_Print_Area_29_1_4">'[15]Prop aug of Ex 33KVSS_E3a'!#REF!</definedName>
    <definedName name="Excel_BuiltIn_Print_Area_29_10">'[1]Prop aug of Ex 33KVSS_E3a'!#REF!</definedName>
    <definedName name="Excel_BuiltIn_Print_Area_29_10_16">'[15]Prop aug of Ex 33KVSS_E3a'!#REF!</definedName>
    <definedName name="Excel_BuiltIn_Print_Area_29_10_2">'[15]Prop aug of Ex 33KVSS_E3a'!#REF!</definedName>
    <definedName name="Excel_BuiltIn_Print_Area_29_10_27">'[14]Prop aug of Ex 33KVSS_E3a'!#REF!</definedName>
    <definedName name="Excel_BuiltIn_Print_Area_29_10_4">'[15]Prop aug of Ex 33KVSS_E3a'!#REF!</definedName>
    <definedName name="Excel_BuiltIn_Print_Area_29_11">'[1]Prop aug of Ex 33KVSS_E3a'!#REF!</definedName>
    <definedName name="Excel_BuiltIn_Print_Area_29_11_16">'[15]Prop aug of Ex 33KVSS_E3a'!#REF!</definedName>
    <definedName name="Excel_BuiltIn_Print_Area_29_11_2">'[15]Prop aug of Ex 33KVSS_E3a'!#REF!</definedName>
    <definedName name="Excel_BuiltIn_Print_Area_29_11_27">'[14]Prop aug of Ex 33KVSS_E3a'!#REF!</definedName>
    <definedName name="Excel_BuiltIn_Print_Area_29_11_4">'[15]Prop aug of Ex 33KVSS_E3a'!#REF!</definedName>
    <definedName name="Excel_BuiltIn_Print_Area_29_12">'[1]Prop aug of Ex 33KVSS_E3a'!#REF!</definedName>
    <definedName name="Excel_BuiltIn_Print_Area_29_12_16">'[15]Prop aug of Ex 33KVSS_E3a'!#REF!</definedName>
    <definedName name="Excel_BuiltIn_Print_Area_29_12_2">'[15]Prop aug of Ex 33KVSS_E3a'!#REF!</definedName>
    <definedName name="Excel_BuiltIn_Print_Area_29_12_27">'[14]Prop aug of Ex 33KVSS_E3a'!#REF!</definedName>
    <definedName name="Excel_BuiltIn_Print_Area_29_12_4">'[15]Prop aug of Ex 33KVSS_E3a'!#REF!</definedName>
    <definedName name="Excel_BuiltIn_Print_Area_29_13">'[1]Prop aug of Ex 33KVSS_E3a'!#REF!</definedName>
    <definedName name="Excel_BuiltIn_Print_Area_29_13_16">'[15]Prop aug of Ex 33KVSS_E3a'!#REF!</definedName>
    <definedName name="Excel_BuiltIn_Print_Area_29_13_2">'[15]Prop aug of Ex 33KVSS_E3a'!#REF!</definedName>
    <definedName name="Excel_BuiltIn_Print_Area_29_13_27">'[14]Prop aug of Ex 33KVSS_E3a'!#REF!</definedName>
    <definedName name="Excel_BuiltIn_Print_Area_29_13_4">'[15]Prop aug of Ex 33KVSS_E3a'!#REF!</definedName>
    <definedName name="Excel_BuiltIn_Print_Area_29_14">'[1]Prop aug of Ex 33KVSS_E3a'!#REF!</definedName>
    <definedName name="Excel_BuiltIn_Print_Area_29_14_16">'[15]Prop aug of Ex 33KVSS_E3a'!#REF!</definedName>
    <definedName name="Excel_BuiltIn_Print_Area_29_14_2">'[15]Prop aug of Ex 33KVSS_E3a'!#REF!</definedName>
    <definedName name="Excel_BuiltIn_Print_Area_29_14_27">'[14]Prop aug of Ex 33KVSS_E3a'!#REF!</definedName>
    <definedName name="Excel_BuiltIn_Print_Area_29_14_4">'[15]Prop aug of Ex 33KVSS_E3a'!#REF!</definedName>
    <definedName name="Excel_BuiltIn_Print_Area_29_15">'[1]Prop aug of Ex 33KVSS_E3a'!#REF!</definedName>
    <definedName name="Excel_BuiltIn_Print_Area_29_15_16">'[15]Prop aug of Ex 33KVSS_E3a'!#REF!</definedName>
    <definedName name="Excel_BuiltIn_Print_Area_29_15_2">'[15]Prop aug of Ex 33KVSS_E3a'!#REF!</definedName>
    <definedName name="Excel_BuiltIn_Print_Area_29_15_27">'[14]Prop aug of Ex 33KVSS_E3a'!#REF!</definedName>
    <definedName name="Excel_BuiltIn_Print_Area_29_15_4">'[15]Prop aug of Ex 33KVSS_E3a'!#REF!</definedName>
    <definedName name="Excel_BuiltIn_Print_Area_29_16">'[1]Prop aug of Ex 33KVSS_E3a'!#REF!</definedName>
    <definedName name="Excel_BuiltIn_Print_Area_29_16_1">'[15]Prop aug of Ex 33KVSS_E3a'!#REF!</definedName>
    <definedName name="Excel_BuiltIn_Print_Area_29_16_16">'[15]Prop aug of Ex 33KVSS_E3a'!#REF!</definedName>
    <definedName name="Excel_BuiltIn_Print_Area_29_16_2">'[15]Prop aug of Ex 33KVSS_E3a'!#REF!</definedName>
    <definedName name="Excel_BuiltIn_Print_Area_29_16_27">'[14]Prop aug of Ex 33KVSS_E3a'!#REF!</definedName>
    <definedName name="Excel_BuiltIn_Print_Area_29_16_4">'[15]Prop aug of Ex 33KVSS_E3a'!#REF!</definedName>
    <definedName name="Excel_BuiltIn_Print_Area_29_17">'[1]Prop aug of Ex 33KVSS_E3a'!#REF!</definedName>
    <definedName name="Excel_BuiltIn_Print_Area_29_17_16">'[15]Prop aug of Ex 33KVSS_E3a'!#REF!</definedName>
    <definedName name="Excel_BuiltIn_Print_Area_29_17_2">'[15]Prop aug of Ex 33KVSS_E3a'!#REF!</definedName>
    <definedName name="Excel_BuiltIn_Print_Area_29_17_27">'[14]Prop aug of Ex 33KVSS_E3a'!#REF!</definedName>
    <definedName name="Excel_BuiltIn_Print_Area_29_17_4">'[15]Prop aug of Ex 33KVSS_E3a'!#REF!</definedName>
    <definedName name="Excel_BuiltIn_Print_Area_29_2">'[1]Prop aug of Ex 33KVSS_E3a'!#REF!</definedName>
    <definedName name="Excel_BuiltIn_Print_Area_29_2_1">'[15]Prop aug of Ex 33KVSS_E3a'!#REF!</definedName>
    <definedName name="Excel_BuiltIn_Print_Area_29_2_16">'[15]Prop aug of Ex 33KVSS_E3a'!#REF!</definedName>
    <definedName name="Excel_BuiltIn_Print_Area_29_2_2">'[15]Prop aug of Ex 33KVSS_E3a'!#REF!</definedName>
    <definedName name="Excel_BuiltIn_Print_Area_29_2_27">'[14]Prop aug of Ex 33KVSS_E3a'!#REF!</definedName>
    <definedName name="Excel_BuiltIn_Print_Area_29_2_4">'[15]Prop aug of Ex 33KVSS_E3a'!#REF!</definedName>
    <definedName name="Excel_BuiltIn_Print_Area_29_20">'[1]Prop aug of Ex 33KVSS_E3a'!#REF!</definedName>
    <definedName name="Excel_BuiltIn_Print_Area_29_20_16">'[15]Prop aug of Ex 33KVSS_E3a'!#REF!</definedName>
    <definedName name="Excel_BuiltIn_Print_Area_29_20_2">'[15]Prop aug of Ex 33KVSS_E3a'!#REF!</definedName>
    <definedName name="Excel_BuiltIn_Print_Area_29_20_27">'[14]Prop aug of Ex 33KVSS_E3a'!#REF!</definedName>
    <definedName name="Excel_BuiltIn_Print_Area_29_20_4">'[15]Prop aug of Ex 33KVSS_E3a'!#REF!</definedName>
    <definedName name="Excel_BuiltIn_Print_Area_29_27">'[13]Prop aug of Ex 33KVSS_E3a'!#REF!</definedName>
    <definedName name="Excel_BuiltIn_Print_Area_29_3">'[1]Prop aug of Ex 33KVSS_E3a'!#REF!</definedName>
    <definedName name="Excel_BuiltIn_Print_Area_29_3_16">'[15]Prop aug of Ex 33KVSS_E3a'!#REF!</definedName>
    <definedName name="Excel_BuiltIn_Print_Area_29_3_2">'[15]Prop aug of Ex 33KVSS_E3a'!#REF!</definedName>
    <definedName name="Excel_BuiltIn_Print_Area_29_3_27">'[14]Prop aug of Ex 33KVSS_E3a'!#REF!</definedName>
    <definedName name="Excel_BuiltIn_Print_Area_29_3_4">'[15]Prop aug of Ex 33KVSS_E3a'!#REF!</definedName>
    <definedName name="Excel_BuiltIn_Print_Area_29_4">'[12]Prop aug of Ex 33KVSS_E3a'!#REF!</definedName>
    <definedName name="Excel_BuiltIn_Print_Area_29_5">'[1]Prop aug of Ex 33KVSS_E3a'!#REF!</definedName>
    <definedName name="Excel_BuiltIn_Print_Area_29_5_16">'[15]Prop aug of Ex 33KVSS_E3a'!#REF!</definedName>
    <definedName name="Excel_BuiltIn_Print_Area_29_5_2">'[15]Prop aug of Ex 33KVSS_E3a'!#REF!</definedName>
    <definedName name="Excel_BuiltIn_Print_Area_29_5_27">'[14]Prop aug of Ex 33KVSS_E3a'!#REF!</definedName>
    <definedName name="Excel_BuiltIn_Print_Area_29_5_4">'[15]Prop aug of Ex 33KVSS_E3a'!#REF!</definedName>
    <definedName name="Excel_BuiltIn_Print_Area_29_6">'[1]Prop aug of Ex 33KVSS_E3a'!#REF!</definedName>
    <definedName name="Excel_BuiltIn_Print_Area_29_6_16">'[15]Prop aug of Ex 33KVSS_E3a'!#REF!</definedName>
    <definedName name="Excel_BuiltIn_Print_Area_29_6_2">'[15]Prop aug of Ex 33KVSS_E3a'!#REF!</definedName>
    <definedName name="Excel_BuiltIn_Print_Area_29_6_27">'[14]Prop aug of Ex 33KVSS_E3a'!#REF!</definedName>
    <definedName name="Excel_BuiltIn_Print_Area_29_6_4">'[15]Prop aug of Ex 33KVSS_E3a'!#REF!</definedName>
    <definedName name="Excel_BuiltIn_Print_Area_29_7">'[1]Prop aug of Ex 33KVSS_E3a'!#REF!</definedName>
    <definedName name="Excel_BuiltIn_Print_Area_29_7_16">'[15]Prop aug of Ex 33KVSS_E3a'!#REF!</definedName>
    <definedName name="Excel_BuiltIn_Print_Area_29_7_2">'[15]Prop aug of Ex 33KVSS_E3a'!#REF!</definedName>
    <definedName name="Excel_BuiltIn_Print_Area_29_7_27">'[14]Prop aug of Ex 33KVSS_E3a'!#REF!</definedName>
    <definedName name="Excel_BuiltIn_Print_Area_29_7_4">'[15]Prop aug of Ex 33KVSS_E3a'!#REF!</definedName>
    <definedName name="Excel_BuiltIn_Print_Area_29_8">'[1]Prop aug of Ex 33KVSS_E3a'!#REF!</definedName>
    <definedName name="Excel_BuiltIn_Print_Area_29_8_16">'[15]Prop aug of Ex 33KVSS_E3a'!#REF!</definedName>
    <definedName name="Excel_BuiltIn_Print_Area_29_8_2">'[15]Prop aug of Ex 33KVSS_E3a'!#REF!</definedName>
    <definedName name="Excel_BuiltIn_Print_Area_29_8_27">'[14]Prop aug of Ex 33KVSS_E3a'!#REF!</definedName>
    <definedName name="Excel_BuiltIn_Print_Area_29_8_4">'[15]Prop aug of Ex 33KVSS_E3a'!#REF!</definedName>
    <definedName name="Excel_BuiltIn_Print_Area_29_9">'[1]Prop aug of Ex 33KVSS_E3a'!#REF!</definedName>
    <definedName name="Excel_BuiltIn_Print_Area_29_9_16">'[15]Prop aug of Ex 33KVSS_E3a'!#REF!</definedName>
    <definedName name="Excel_BuiltIn_Print_Area_29_9_2">'[15]Prop aug of Ex 33KVSS_E3a'!#REF!</definedName>
    <definedName name="Excel_BuiltIn_Print_Area_29_9_27">'[14]Prop aug of Ex 33KVSS_E3a'!#REF!</definedName>
    <definedName name="Excel_BuiltIn_Print_Area_29_9_4">'[15]Prop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30_16">'[17]Prop aug of Ex 33KVSS_E3a'!#REF!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definedName>
    <definedName name="Excel_BuiltIn_Print_Area_4_4">#REF!</definedName>
    <definedName name="Excel_BuiltIn_Print_Area_4_6">#REF!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_1">(#REF!,#REF!)</definedName>
    <definedName name="Excel_BuiltIn_Print_Titles_1_1_1_1">#REF!</definedName>
    <definedName name="Excel_BuiltIn_Print_Titles_10">([18]Schedule_3_Mandatory_!$A$5:$D$65534,[18]Schedule_3_Mandatory_!$A$5:$GB$7)</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_1">(#REF!,#REF!)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#REF!</definedName>
    <definedName name="Excel_BuiltIn_Print_Titles_5_1_1">#REF!</definedName>
    <definedName name="Excel_BuiltIn_Print_Titles_6_1_1">#REF!</definedName>
    <definedName name="Excel_BuiltIn_Print_Titles_8_1">#REF!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ise">#REF!</definedName>
    <definedName name="Excise_Duty">#REF!</definedName>
    <definedName name="Excised">#REF!</definedName>
    <definedName name="ExciseDuty">#REF!</definedName>
    <definedName name="F">#REF!</definedName>
    <definedName name="freightt">#REF!</definedName>
    <definedName name="frnorms">#REF!</definedName>
    <definedName name="FUNDINGAGENCY">[4]Sheet2!$D$43:$I$43</definedName>
    <definedName name="H">#REF!</definedName>
    <definedName name="hggd">'[1]Prop aug of Ex 33KVSS_E3a'!#REF!</definedName>
    <definedName name="hjhj">#REF!</definedName>
    <definedName name="HT">[5]Sheet1!$D$90</definedName>
    <definedName name="I">#REF!</definedName>
    <definedName name="Input">[5]Sheet1!$D$35</definedName>
    <definedName name="jg">'[1]Prop aug of Ex 33KVSS_E3a'!#REF!</definedName>
    <definedName name="ksdfnSK">[8]DREV!#REF!</definedName>
    <definedName name="LOCATION">[4]Sheet2!$D$24:$E$24</definedName>
    <definedName name="logo1">"Picture 7"</definedName>
    <definedName name="manish">#REF!</definedName>
    <definedName name="MyList">#REF!</definedName>
    <definedName name="NTPC">#REF!</definedName>
    <definedName name="option9">'[19]PRICE BID'!#REF!</definedName>
    <definedName name="other_boq">[6]Config!$G$2:$G$5</definedName>
    <definedName name="pad_baywise">#REF!</definedName>
    <definedName name="Pati">#REF!</definedName>
    <definedName name="PONDA">#REF!</definedName>
    <definedName name="_xlnm.Print_Titles" localSheetId="0">'Bid_NoBid_Strategy Sheet'!$1:$26</definedName>
    <definedName name="_xlnm.Print_Titles">#REF!</definedName>
    <definedName name="PRINT_TITLES_MI">#REF!</definedName>
    <definedName name="QUALIFICATION">[4]Sheet2!$D$39:$G$39</definedName>
    <definedName name="rama">'[17]Prop aug of Ex 33KVSS_E3a'!#REF!</definedName>
    <definedName name="_xlnm.Recorder">#REF!</definedName>
    <definedName name="s">#REF!</definedName>
    <definedName name="schedule">'[20]PRICE BID'!#REF!</definedName>
    <definedName name="Select">#REF!</definedName>
    <definedName name="SelectD1OrC1">#REF!</definedName>
    <definedName name="SelectLessOrExcess">#REF!</definedName>
    <definedName name="Sendhwa">'[5]Format-A (S)'!$C$41</definedName>
    <definedName name="Sendhwa_Division.">[5]Sheet1!$C$103</definedName>
    <definedName name="Service">#REF!</definedName>
    <definedName name="ServiceTax">#REF!</definedName>
    <definedName name="Sharif">[5]Sheet1!$D$104</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sg">[8]CREV!#REF!</definedName>
    <definedName name="TAGWBSEDCL">'[21]TAG LIST'!$B$3:$B$153</definedName>
    <definedName name="Tax">#REF!</definedName>
    <definedName name="TENDERCOST">[4]Sheet2!$D$17:$H$17</definedName>
    <definedName name="ter_vapi">#REF!</definedName>
    <definedName name="TEST">#REF!</definedName>
    <definedName name="TOT_ST">'[19]PRICE BID'!$G$14</definedName>
    <definedName name="vapi_baywis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7" i="1" l="1"/>
  <c r="H88" i="1"/>
  <c r="H89" i="1"/>
  <c r="H86" i="1"/>
  <c r="H92" i="1"/>
  <c r="H93" i="1"/>
  <c r="H94" i="1"/>
  <c r="H95" i="1"/>
  <c r="H91" i="1"/>
  <c r="D97" i="1"/>
  <c r="H84" i="1"/>
  <c r="H83" i="1"/>
  <c r="H82" i="1"/>
  <c r="H77" i="1"/>
  <c r="H78" i="1"/>
  <c r="H79" i="1"/>
  <c r="H80" i="1"/>
  <c r="H76" i="1"/>
  <c r="H74" i="1"/>
  <c r="H73" i="1"/>
  <c r="H72" i="1"/>
  <c r="H71" i="1"/>
  <c r="H69" i="1"/>
  <c r="H68" i="1"/>
  <c r="H67" i="1"/>
  <c r="H65" i="1"/>
  <c r="H64" i="1"/>
  <c r="H63" i="1"/>
  <c r="H61" i="1"/>
  <c r="H60" i="1"/>
  <c r="H59" i="1"/>
  <c r="H57" i="1"/>
  <c r="H56" i="1"/>
  <c r="H54" i="1"/>
  <c r="H53" i="1"/>
  <c r="H51" i="1"/>
  <c r="H50" i="1"/>
  <c r="H49" i="1"/>
  <c r="H47" i="1"/>
  <c r="H46" i="1"/>
  <c r="H45" i="1"/>
  <c r="H43" i="1"/>
  <c r="H42" i="1"/>
  <c r="H41" i="1"/>
  <c r="H39" i="1"/>
  <c r="H38" i="1"/>
  <c r="H37" i="1"/>
  <c r="H28" i="1"/>
  <c r="H29" i="1"/>
  <c r="H30" i="1"/>
  <c r="H31" i="1"/>
  <c r="H32" i="1"/>
  <c r="H33" i="1"/>
  <c r="H34" i="1"/>
  <c r="H35" i="1"/>
  <c r="H27" i="1"/>
  <c r="F18" i="1"/>
  <c r="H97" i="1" l="1"/>
</calcChain>
</file>

<file path=xl/sharedStrings.xml><?xml version="1.0" encoding="utf-8"?>
<sst xmlns="http://schemas.openxmlformats.org/spreadsheetml/2006/main" count="132" uniqueCount="118">
  <si>
    <t xml:space="preserve">Date: </t>
  </si>
  <si>
    <t>Points of evaluation :</t>
  </si>
  <si>
    <t>Payment terms</t>
  </si>
  <si>
    <t>Lumpsum quantities</t>
  </si>
  <si>
    <t>Funding</t>
  </si>
  <si>
    <t>Price variation allowed</t>
  </si>
  <si>
    <t>Completion period</t>
  </si>
  <si>
    <t>Liquidated damages</t>
  </si>
  <si>
    <t>Customer</t>
  </si>
  <si>
    <t>TOTAL</t>
  </si>
  <si>
    <t>Customer :</t>
  </si>
  <si>
    <t>Tender Ref :</t>
  </si>
  <si>
    <t>Point of Evaluation</t>
  </si>
  <si>
    <t>Detail of point</t>
  </si>
  <si>
    <t>Main Weightage</t>
  </si>
  <si>
    <t>Description</t>
  </si>
  <si>
    <t>Score</t>
  </si>
  <si>
    <t>Payment terms specified by customer</t>
  </si>
  <si>
    <t>Unit rate tender (all quantities mentioned)</t>
  </si>
  <si>
    <t>Lumpsum quantities in supply / civil</t>
  </si>
  <si>
    <t>Lumpsum quantities in supply and civil</t>
  </si>
  <si>
    <t>Source of funding</t>
  </si>
  <si>
    <t>Price variation</t>
  </si>
  <si>
    <t>Whether price variation as per acceptable formulae allowed ?</t>
  </si>
  <si>
    <t>FIRM prices</t>
  </si>
  <si>
    <t>Completion period specified by customer</t>
  </si>
  <si>
    <t xml:space="preserve">Very much achievable ( &gt; 18 months) </t>
  </si>
  <si>
    <t>Severity of LD</t>
  </si>
  <si>
    <t>0.5 - 5% per week of total contract value</t>
  </si>
  <si>
    <t>0.5 - 10% per week of total contract value</t>
  </si>
  <si>
    <t xml:space="preserve">Customer </t>
  </si>
  <si>
    <t>Rating depends on past experiences and market knowledge</t>
  </si>
  <si>
    <t xml:space="preserve">Preferred </t>
  </si>
  <si>
    <t xml:space="preserve">Not preferred </t>
  </si>
  <si>
    <t xml:space="preserve">TOTAL </t>
  </si>
  <si>
    <t>Decision</t>
  </si>
  <si>
    <t>70-100%</t>
  </si>
  <si>
    <t>56-69%</t>
  </si>
  <si>
    <t>41-55%</t>
  </si>
  <si>
    <t>0-40%</t>
  </si>
  <si>
    <t>BID/NO BID EVALUATION</t>
  </si>
  <si>
    <t>Allocation</t>
  </si>
  <si>
    <t>Final Weightage</t>
  </si>
  <si>
    <t>Remarks (if Any)</t>
  </si>
  <si>
    <t>Nil advance, 75% on desgine, Supply, Testing, Installation and Commissioning (70% against Supply, 20% against Installation, 10% against commissioning) of total quoted EPC Project cost  25% against O&amp;M</t>
  </si>
  <si>
    <t>Nil advance payment, 85% against supply and installation, 15 % retention (relased 3% every year )</t>
  </si>
  <si>
    <t xml:space="preserve">Nil advance, 60% against supply &amp; Installation, 10% against installation, 10% against commissioing, 5% against PGTR, 15% Retention (Released after O&amp;M period) </t>
  </si>
  <si>
    <t>Nil advance, 70% against supply &amp; Instllation, 5% against PGTR, 15% Retention (released after O&amp;M period)</t>
  </si>
  <si>
    <r>
      <t xml:space="preserve">5% advance, </t>
    </r>
    <r>
      <rPr>
        <b/>
        <sz val="11"/>
        <color theme="1"/>
        <rFont val="Book Antiqua"/>
        <family val="1"/>
      </rPr>
      <t>Supply</t>
    </r>
    <r>
      <rPr>
        <sz val="11"/>
        <color theme="1"/>
        <rFont val="Book Antiqua"/>
        <family val="1"/>
      </rPr>
      <t xml:space="preserve"> (70% against Supply, 10% against installation, 10% against successfully commissiong, 5% against successful PGTR)
</t>
    </r>
    <r>
      <rPr>
        <b/>
        <sz val="11"/>
        <color theme="1"/>
        <rFont val="Book Antiqua"/>
        <family val="1"/>
      </rPr>
      <t>Service Portion</t>
    </r>
    <r>
      <rPr>
        <sz val="11"/>
        <color theme="1"/>
        <rFont val="Book Antiqua"/>
        <family val="1"/>
      </rPr>
      <t xml:space="preserve"> (80% against civil &amp; structural work, 10% after successfully Commissioning, 10% against successful PGTR)</t>
    </r>
  </si>
  <si>
    <r>
      <t xml:space="preserve">Nil advance, </t>
    </r>
    <r>
      <rPr>
        <b/>
        <sz val="11"/>
        <color theme="1"/>
        <rFont val="Book Antiqua"/>
        <family val="1"/>
      </rPr>
      <t>Supply</t>
    </r>
    <r>
      <rPr>
        <sz val="11"/>
        <color theme="1"/>
        <rFont val="Book Antiqua"/>
        <family val="1"/>
      </rPr>
      <t xml:space="preserve"> (70% against Supply, 10% against installation, 10% against successfully commissiong, 10 against successful PGTR)
</t>
    </r>
    <r>
      <rPr>
        <b/>
        <sz val="11"/>
        <color theme="1"/>
        <rFont val="Book Antiqua"/>
        <family val="1"/>
      </rPr>
      <t>Service Portion</t>
    </r>
    <r>
      <rPr>
        <sz val="11"/>
        <color theme="1"/>
        <rFont val="Book Antiqua"/>
        <family val="1"/>
      </rPr>
      <t xml:space="preserve"> (80% against civil &amp; structural work, 10% after successfully Commissioning, 10% against successful PGTR)</t>
    </r>
  </si>
  <si>
    <t>Nil advance, 60% against supply, 15% against installation, 10% against Successful Commissioning, 5% against Successful PGTR, Retention 10% (released after O&amp;M)</t>
  </si>
  <si>
    <t>Contractual Risk Allocation</t>
  </si>
  <si>
    <t>One-sided clauses in favor of employer &amp; Back-to-back liability with contractors</t>
  </si>
  <si>
    <t>Moderate risk</t>
  </si>
  <si>
    <t>Highly one-sided</t>
  </si>
  <si>
    <t>Performance Security &amp; Guarantees</t>
  </si>
  <si>
    <t>Impacts cash flow &amp; banking limits</t>
  </si>
  <si>
    <t>≤5%</t>
  </si>
  <si>
    <t>5–7.5%</t>
  </si>
  <si>
    <t>Technical Specifications Flexibility</t>
  </si>
  <si>
    <t>Brand-specific &amp; open specification</t>
  </si>
  <si>
    <t>Any Make</t>
  </si>
  <si>
    <t>Partial Make</t>
  </si>
  <si>
    <t>Specific Make</t>
  </si>
  <si>
    <t>Project Site Readiness</t>
  </si>
  <si>
    <t>Fully ready</t>
  </si>
  <si>
    <t>Mostly ready</t>
  </si>
  <si>
    <t>Not ready</t>
  </si>
  <si>
    <t>Employer’s Past Payment Track Record</t>
  </si>
  <si>
    <t>Liquidity</t>
  </si>
  <si>
    <t>Excellent</t>
  </si>
  <si>
    <t>Good</t>
  </si>
  <si>
    <t>Moderate</t>
  </si>
  <si>
    <t>Poor</t>
  </si>
  <si>
    <t>Very Poor</t>
  </si>
  <si>
    <t>Joint Venture / Consortium</t>
  </si>
  <si>
    <t>Solo Quallified Bidder</t>
  </si>
  <si>
    <t>JV/Consortium with Clear Lead Partner and partnership Share</t>
  </si>
  <si>
    <t>JV/Consortium Risk &amp; Responsibility</t>
  </si>
  <si>
    <t>JV clause with unclear roles, responsibilities, and shareholding</t>
  </si>
  <si>
    <r>
      <rPr>
        <b/>
        <sz val="11"/>
        <color theme="1"/>
        <rFont val="Book Antiqua"/>
        <family val="1"/>
      </rPr>
      <t>Supply</t>
    </r>
    <r>
      <rPr>
        <sz val="11"/>
        <color theme="1"/>
        <rFont val="Book Antiqua"/>
        <family val="1"/>
      </rPr>
      <t xml:space="preserve"> (5% Advance, 5% Milstone Payment, 80% Supply, 5% against work Completion certificate, 5% against operational Certificate.)
</t>
    </r>
    <r>
      <rPr>
        <b/>
        <sz val="11"/>
        <color theme="1"/>
        <rFont val="Book Antiqua"/>
        <family val="1"/>
      </rPr>
      <t>Installation</t>
    </r>
    <r>
      <rPr>
        <sz val="11"/>
        <color theme="1"/>
        <rFont val="Book Antiqua"/>
        <family val="1"/>
      </rPr>
      <t xml:space="preserve"> (95% against installation, 5% against final acceptance)</t>
    </r>
  </si>
  <si>
    <t>Foreign/International Funding</t>
  </si>
  <si>
    <t>Sr. No</t>
  </si>
  <si>
    <r>
      <rPr>
        <b/>
        <sz val="11"/>
        <color theme="1"/>
        <rFont val="Book Antiqua"/>
        <family val="1"/>
      </rPr>
      <t>Supply</t>
    </r>
    <r>
      <rPr>
        <sz val="11"/>
        <color theme="1"/>
        <rFont val="Book Antiqua"/>
        <family val="1"/>
      </rPr>
      <t xml:space="preserve"> (10% advance, 60% against supply, 10% against Installation, 5% against Completion Certificate, 5% against Commissioning certificate.
</t>
    </r>
    <r>
      <rPr>
        <b/>
        <sz val="11"/>
        <color theme="1"/>
        <rFont val="Book Antiqua"/>
        <family val="1"/>
      </rPr>
      <t xml:space="preserve">Installation </t>
    </r>
    <r>
      <rPr>
        <sz val="11"/>
        <color theme="1"/>
        <rFont val="Book Antiqua"/>
        <family val="1"/>
      </rPr>
      <t>(10% advance, 60% against installation, 10% against Completion Certificate, 5% against Commissioning Certificate, 5% issue of Final Acceptance certificate.</t>
    </r>
  </si>
  <si>
    <t>Whether tender BOQ is design based or Already Quantified?</t>
  </si>
  <si>
    <t>Central Utility</t>
  </si>
  <si>
    <t>State Utility</t>
  </si>
  <si>
    <t>Allowed for &gt;= 20% of contract value</t>
  </si>
  <si>
    <t>Allowed for &lt;+/- 20% of contract value</t>
  </si>
  <si>
    <t>Achievable (12 - 18 months)</t>
  </si>
  <si>
    <t>Not achievable (&lt;12 months)</t>
  </si>
  <si>
    <t>Low/Balanced risk</t>
  </si>
  <si>
    <t>Land, ROW, permits, or grid</t>
  </si>
  <si>
    <t>Partially ready</t>
  </si>
  <si>
    <t>Work Title :</t>
  </si>
  <si>
    <t>Bid Submssion Due Date :</t>
  </si>
  <si>
    <t>EMD</t>
  </si>
  <si>
    <t>Bank Gauarantee</t>
  </si>
  <si>
    <t>NEFT/RTGS</t>
  </si>
  <si>
    <t>Demand Draft</t>
  </si>
  <si>
    <t>Insurance Surety Bond</t>
  </si>
  <si>
    <t>Mode of EMD</t>
  </si>
  <si>
    <t>Site Conditions &amp; Accessibility</t>
  </si>
  <si>
    <t>Site terrain, altitude, statutory sensitivity &amp; availability of utilities</t>
  </si>
  <si>
    <t>Plain land, low altitude, non-forest, good road, power &amp; water available</t>
  </si>
  <si>
    <t>Semi-hilly or medium altitude, some approvals needed, temporary utilities</t>
  </si>
  <si>
    <t>Remote high-altitude forest area, major approvals, no road or utilities</t>
  </si>
  <si>
    <t>Plain /slightly uneven land, no forest issue, minor logistics, utilities available</t>
  </si>
  <si>
    <t>Hilly/high altitude, forest or eco-sensitive area, poor access, limited utilities</t>
  </si>
  <si>
    <t>Category A</t>
  </si>
  <si>
    <t>Category B</t>
  </si>
  <si>
    <t>Category C</t>
  </si>
  <si>
    <t>Category D</t>
  </si>
  <si>
    <t>: Must bag</t>
  </si>
  <si>
    <t>: Target</t>
  </si>
  <si>
    <t>: Just bid</t>
  </si>
  <si>
    <t>: Not targetted</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</si>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</sst>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1"/>
      <color theme="1"/>
      <name val="Calibri"/>
      <family val="2"/>
      <scheme val="minor"/>
    </font>
    <font>
      <sz val="11"/>
      <color theme="1"/>
      <name val="Book Antiqua"/>
      <family val="1"/>
    </font>
    <font>
      <b/>
      <u/>
      <sz val="11"/>
      <color theme="1"/>
      <name val="Book Antiqua"/>
      <family val="1"/>
    </font>
    <font>
      <b/>
      <sz val="11"/>
      <color theme="1"/>
      <name val="Book Antiqua"/>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s>
  <cellStyleXfs count="3">
    <xf numFmtId="0" fontId="0" fillId="0" borderId="0"/>
    <xf numFmtId="9" fontId="1" fillId="0" borderId="0" applyFont="0" applyFill="0" applyBorder="0" applyAlignment="0" applyProtection="0"/>
    <xf numFmtId="0" fontId="1" fillId="0" borderId="0"/>
  </cellStyleXfs>
  <cellXfs count="66">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0" fontId="4" fillId="0" borderId="0" xfId="0" applyFont="1" applyAlignment="1">
      <alignment horizontal="center" vertical="center"/>
    </xf>
    <xf numFmtId="0" fontId="2" fillId="0" borderId="1" xfId="0" applyFont="1" applyBorder="1" applyAlignment="1">
      <alignment vertical="center" wrapText="1"/>
    </xf>
    <xf numFmtId="9" fontId="2" fillId="0" borderId="1" xfId="1" applyFont="1" applyFill="1" applyBorder="1" applyAlignment="1">
      <alignment horizontal="center" vertical="center"/>
    </xf>
    <xf numFmtId="0" fontId="4" fillId="0" borderId="1" xfId="0" applyFont="1" applyBorder="1" applyAlignment="1">
      <alignment vertical="center" wrapText="1"/>
    </xf>
    <xf numFmtId="9" fontId="4" fillId="0" borderId="1" xfId="1" applyFont="1" applyFill="1" applyBorder="1" applyAlignment="1">
      <alignment horizontal="center" vertical="center"/>
    </xf>
    <xf numFmtId="0" fontId="2" fillId="0" borderId="0" xfId="2" applyFont="1" applyAlignment="1">
      <alignment horizontal="center" vertical="center"/>
    </xf>
    <xf numFmtId="0" fontId="2" fillId="0" borderId="0" xfId="2" applyFont="1" applyAlignment="1">
      <alignment vertical="center"/>
    </xf>
    <xf numFmtId="0" fontId="4" fillId="0" borderId="0" xfId="2" applyFont="1" applyAlignment="1">
      <alignment vertical="center" wrapText="1"/>
    </xf>
    <xf numFmtId="0" fontId="4" fillId="0" borderId="0" xfId="2" applyFont="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xf>
    <xf numFmtId="164" fontId="2" fillId="0" borderId="1" xfId="0" applyNumberFormat="1" applyFont="1" applyBorder="1" applyAlignment="1">
      <alignment horizontal="center" vertical="center"/>
    </xf>
    <xf numFmtId="0" fontId="2" fillId="0" borderId="2" xfId="0" applyFont="1" applyBorder="1" applyAlignment="1">
      <alignment vertical="center"/>
    </xf>
    <xf numFmtId="9" fontId="2" fillId="0" borderId="1" xfId="0" applyNumberFormat="1" applyFont="1" applyBorder="1" applyAlignment="1">
      <alignment horizontal="center" vertical="center"/>
    </xf>
    <xf numFmtId="0" fontId="2" fillId="0" borderId="1" xfId="0" applyFont="1" applyBorder="1" applyAlignment="1">
      <alignment horizontal="left" vertical="center"/>
    </xf>
    <xf numFmtId="0" fontId="4"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quotePrefix="1" applyFont="1" applyBorder="1" applyAlignment="1">
      <alignment horizontal="center" vertical="center"/>
    </xf>
    <xf numFmtId="9" fontId="2" fillId="0" borderId="1" xfId="0" applyNumberFormat="1" applyFont="1" applyBorder="1" applyAlignment="1">
      <alignment vertical="center" wrapText="1"/>
    </xf>
    <xf numFmtId="10" fontId="2" fillId="0" borderId="1" xfId="0" applyNumberFormat="1" applyFont="1" applyBorder="1" applyAlignment="1">
      <alignment vertical="center"/>
    </xf>
    <xf numFmtId="9" fontId="4" fillId="0" borderId="1" xfId="0" applyNumberFormat="1" applyFont="1" applyBorder="1" applyAlignment="1">
      <alignment horizontal="center" vertical="center"/>
    </xf>
    <xf numFmtId="10" fontId="4"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2" fillId="0" borderId="5" xfId="0" applyFont="1" applyBorder="1" applyAlignment="1">
      <alignment horizontal="center" vertical="center"/>
    </xf>
    <xf numFmtId="9" fontId="2" fillId="0" borderId="1" xfId="0" applyNumberFormat="1" applyFont="1" applyBorder="1" applyAlignment="1">
      <alignment horizontal="left" vertical="center"/>
    </xf>
    <xf numFmtId="0" fontId="2" fillId="0" borderId="5" xfId="0" applyFont="1" applyBorder="1" applyAlignment="1">
      <alignment horizontal="left" vertical="center" wrapText="1"/>
    </xf>
    <xf numFmtId="9" fontId="2" fillId="0" borderId="1" xfId="1" applyFont="1" applyBorder="1" applyAlignment="1">
      <alignment horizontal="center" vertical="center"/>
    </xf>
    <xf numFmtId="9" fontId="2" fillId="0" borderId="5" xfId="1" applyFont="1" applyBorder="1" applyAlignment="1">
      <alignment horizontal="center" vertical="center"/>
    </xf>
    <xf numFmtId="9" fontId="4" fillId="0" borderId="1" xfId="1" applyFont="1" applyBorder="1" applyAlignment="1">
      <alignment horizontal="center" vertical="center"/>
    </xf>
    <xf numFmtId="0" fontId="4" fillId="0" borderId="0" xfId="0" applyFont="1" applyAlignment="1">
      <alignment horizontal="right" vertical="center"/>
    </xf>
    <xf numFmtId="9" fontId="2" fillId="0" borderId="3" xfId="1" applyFont="1" applyBorder="1" applyAlignment="1">
      <alignment horizontal="center" vertical="center"/>
    </xf>
    <xf numFmtId="9" fontId="2" fillId="0" borderId="4" xfId="1" applyFont="1" applyBorder="1" applyAlignment="1">
      <alignment horizontal="center" vertical="center"/>
    </xf>
    <xf numFmtId="9" fontId="2" fillId="0" borderId="5" xfId="1" applyFont="1" applyBorder="1" applyAlignment="1">
      <alignment horizontal="center" vertical="center"/>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left" vertical="center" wrapText="1"/>
    </xf>
    <xf numFmtId="9" fontId="2" fillId="0" borderId="3" xfId="0" applyNumberFormat="1" applyFont="1" applyBorder="1" applyAlignment="1">
      <alignment horizontal="center" vertical="center"/>
    </xf>
    <xf numFmtId="9" fontId="2" fillId="0" borderId="4" xfId="0" applyNumberFormat="1" applyFont="1" applyBorder="1" applyAlignment="1">
      <alignment horizontal="center" vertical="center"/>
    </xf>
    <xf numFmtId="9" fontId="2" fillId="0" borderId="5" xfId="0" applyNumberFormat="1" applyFont="1" applyBorder="1" applyAlignment="1">
      <alignment horizontal="center" vertical="center"/>
    </xf>
    <xf numFmtId="9"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left" vertical="center"/>
    </xf>
    <xf numFmtId="0" fontId="2" fillId="0" borderId="2" xfId="0" applyFont="1" applyBorder="1" applyAlignment="1">
      <alignment horizontal="left" vertical="center" wrapText="1"/>
    </xf>
    <xf numFmtId="9" fontId="2" fillId="0" borderId="2" xfId="1" applyFont="1" applyFill="1" applyBorder="1" applyAlignment="1">
      <alignment horizontal="center" vertical="center"/>
    </xf>
    <xf numFmtId="0" fontId="3" fillId="0" borderId="0" xfId="0" applyFont="1" applyAlignment="1">
      <alignment horizontal="left" vertical="center"/>
    </xf>
    <xf numFmtId="0" fontId="3" fillId="0" borderId="0" xfId="2" applyFont="1" applyAlignment="1">
      <alignment horizontal="right" vertical="center" wrapText="1"/>
    </xf>
    <xf numFmtId="0" fontId="4" fillId="0" borderId="0" xfId="2" applyFont="1" applyAlignment="1">
      <alignment horizontal="left" vertical="center" wrapText="1"/>
    </xf>
    <xf numFmtId="9" fontId="2" fillId="0" borderId="3" xfId="1" applyFont="1" applyFill="1" applyBorder="1" applyAlignment="1">
      <alignment horizontal="center" vertical="center"/>
    </xf>
    <xf numFmtId="9" fontId="2" fillId="0" borderId="4" xfId="1" applyFont="1" applyFill="1" applyBorder="1" applyAlignment="1">
      <alignment horizontal="center" vertical="center"/>
    </xf>
    <xf numFmtId="9" fontId="2" fillId="0" borderId="5" xfId="1" applyFont="1" applyFill="1" applyBorder="1" applyAlignment="1">
      <alignment horizontal="center" vertical="center"/>
    </xf>
    <xf numFmtId="0" fontId="2" fillId="0" borderId="1" xfId="0" applyFont="1" applyBorder="1" applyAlignment="1">
      <alignment horizontal="left" vertical="center"/>
    </xf>
    <xf numFmtId="0" fontId="3" fillId="0" borderId="0" xfId="0" applyFont="1" applyAlignment="1">
      <alignment horizontal="right" vertical="center"/>
    </xf>
    <xf numFmtId="0" fontId="3" fillId="0" borderId="6" xfId="0" applyFont="1" applyBorder="1" applyAlignment="1">
      <alignment horizontal="right" vertical="center"/>
    </xf>
  </cellXfs>
  <cellStyles count="3">
    <cellStyle name="Normal" xfId="0" builtinId="0"/>
    <cellStyle name="Normal 12" xfId="2" xr:uid="{A10B5E49-4940-42B2-8080-205AFF835DC3}"/>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calcChain" Target="calcChain.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J:\harry\POWERGRID,DMS,DRP%20FOR%20%20RAJASTHAN\RGGVY%20PALI\RGGVY%20PALI.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ION-EPD-DT-005\Tenders\Tenders\Tenders%202011-2012\T-19,%20OPTCL,%20Konark%20132KV%20SS,%20132KV%20Bay%20Extension%20-%2053\Costing\q)%20Sch%20-%202A,%202B,%202C,%203%20(53%20-%20Costing)%20R1%2005-07-20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nas\mktg\devi\FR\SR\STREN-3\FR3q2001SR-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elfilesrv02\PDTENDER\Tenders%202018-2019\T-XX,%20BESCOM%20UG%20Cabling\Project%20Synopsis\PD-MKT-R-002%20(BESCOM%20UG%20Cabling)%20with%20risk%20sheet%20(R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Documents%20and%20Settings\NIC\Desktop\supply_2013\circle_wise_proposal\ADB+III\New%20Folder\Line%20Loss%20Barwani%20Circle\Line%20Loss%202009-10\Line%20Loss%20April-0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v078/Desktop/Backup%2025-01-2019/New%20Tenders/Tender_documents_OLIC/work_283986/V4_BOQ_AllinOne.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BISWANATH(H072)-KOLKATA/Tender/WBSEDCL-Tender/Substation%20Pkgs/Enquiry/BOQ-SS-Pkg%20-for%20enquiry/BOQ_144796-North%2024%20Pg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DPRs-RE\DPR%20RGGVY-ORISSA\Balasore%20DPR\BALASORE%20DPR.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ion-epd-dt-005\Tenders\Orissa%20DPR\DPR\DPR\Completed%20DPR\BhadraK%20New\Bhadrak%20DPR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ion-epd-dt-005\Tenders\Orissa%20DPR\DPR\DPR\Completed%20DPR\BhadraK%20New\harry\SULTANPUR\Manoj%20kumar\Bhadrak%20DPR.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J:\harry\Raebareli%20addl%20vill%20report\DMS_RE\Bihar-electrified\Rajasthan\PALI\RGGVY%20PAL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ion-epd-dt-005\Tenders\Orissa%20DPR\DPR\DPR\Completed%20DPR\BhadraK%20New\harry\Raebareli%20addl%20vill%20report\DMS_RE\Bihar-electrified\Rajasthan\PALI\RGGVY%20PALI.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ion-epd-dt-005\Tenders\Orissa%20DPR\DPR\DPR\Completed%20DPR\BhadraK%20New\harry\SULTANPUR\Raebareli%20addl%20vill%20report\DMS_RE\Bihar-electrified\Rajasthan\PALI\RGGVY%20PAL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ion-epd-dt-005\Tenders\Orissa%20DPR\DPR\DPR\Completed%20DPR\BhadraK%20New\harry\SULTANPUR\POWERGRID,DMS,DRP%20FOR%20%20RAJASTHAN\RGGVY%20PALI\RGGVY%20PALI.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ion-epd-dt-005\Tenders\Orissa%20DPR\DPR\DPR\Completed%20DPR\BhadraK%20New\harry\POWERGRID,DMS,DRP%20FOR%20%20RAJASTHAN\RGGVY%20PALI\RGGVY%20PALI.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ion-epd-dt-005\Tenders\Orissa%20DPR\DPR\DPR\Completed%20DPR\BhadraK%20New\harry\RGGVY%20DPR%20including%20PURVAS.xls-modified"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ion-epd-pc008\f\Documents%20and%20Settings\hcl1\My%20Documents\Downloads\harry\POWERGRID,DMS,DRP%20FOR%20%20RAJASTHAN\RGGVY%20PALI\RGGVY%20PALI.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ion-epd-dt-005\Documents%20and%20Settings\nileshv\Desktop\3)%20ATRI%20-%20Sch-2A,%202B,%202C,%203%20BPS_IB_ATRI%20(Costing%2025-06-201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d.docs.live.net/Users/gepadmin/Desktop/BOQ_itemrate_turnkey.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ion-epd-pc008\f\Tenders%202016-2017\T-XX,%20WBSEDCL,%20DDUGJY\summary\Users\gepadmin\Desktop\BOQ_itemrate_turnkey.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ion-epd-dt-005\Tenders\Tenders\Tenders%202012-2013\T-28,%20WBSEDCL%20-%20RAPDRP%20(EB,%20MID,%20KRP)\Costing\Costing%20English%20Bazaar-%20Schedule%20%203A%20&amp;%203B%20(Priced)%2027-08-2012%20(Working%20for%20Discou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 B"/>
      <sheetName val="Section_C"/>
      <sheetName val="Scheme Area Details_Block__ C1a"/>
      <sheetName val="Scheme Area Details_Block__C1b"/>
      <sheetName val="Scheme Area Details_Block__ C2"/>
      <sheetName val="Scheme Area Details_Block__ C3"/>
      <sheetName val="Scheme areadetail _Village__C4"/>
      <sheetName val="Scheme Proposal _Village__ C5"/>
      <sheetName val="Scheme Proposal _Village__C6  "/>
      <sheetName val="un_electrified villC_7"/>
      <sheetName val="de_electrified villC_8"/>
      <sheetName val="declaration of De_elect_ C_9"/>
      <sheetName val="Section_D"/>
      <sheetName val="Scheme Proposal _Block__ D1a"/>
      <sheetName val="Scheme Proposal _Block__ D1b"/>
      <sheetName val="Scheme Proposal _Block__ D2"/>
      <sheetName val="Scheme Pro_ _Village__D3"/>
      <sheetName val="Scheme Proposal _Village__D4"/>
      <sheetName val="Scheme Proposal _Village__D5"/>
      <sheetName val="Section_E"/>
      <sheetName val="EHV_SS_E1"/>
      <sheetName val="33KVfeeders_E2"/>
      <sheetName val="New33KVSS_E3"/>
      <sheetName val="Prop aug of Ex 33KVSS_E3a"/>
      <sheetName val="Ex33KVSS_Exstatus_E4"/>
      <sheetName val="Ex33KVSS_Mod_StatusE5"/>
      <sheetName val="New33KVLinesE6"/>
      <sheetName val="New11KVLinesE7"/>
      <sheetName val="Aug_FeedersE8"/>
      <sheetName val="Ex_LTDist_E9"/>
      <sheetName val="PropLTDistE10_"/>
      <sheetName val="LossStatusE11"/>
      <sheetName val="Cost Estimate G"/>
      <sheetName val="DT _1_ph_16 KVA - CSP"/>
      <sheetName val="11 kv 1-ph (spur line)"/>
      <sheetName val="ABC line"/>
      <sheetName val="11 kv Branch 1-ph (weasel) "/>
      <sheetName val="master material for Unit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H SHEET - 53"/>
      <sheetName val="Summary"/>
      <sheetName val="Package_KONARK__SS__2A"/>
      <sheetName val="Package_KONARK__Line__2A"/>
      <sheetName val="Package_KONARK__SS__2B"/>
      <sheetName val="Package_KONARK__Line__2B"/>
      <sheetName val="Package_KONARK__SS__2C"/>
      <sheetName val="Package_KONARK__Line__2C"/>
      <sheetName val="MAND_Spares_KONARK_SCHD_3"/>
      <sheetName val="Cost Sheet - Spares"/>
      <sheetName val="Working Sheets"/>
      <sheetName val="Cable Summary 13-05-2011"/>
      <sheetName val="Khajuriakata-Cable"/>
      <sheetName val="Earthing Calculation (new)"/>
      <sheetName val="Civil Calculations (new)"/>
      <sheetName val="Tools &amp; Plant"/>
      <sheetName val="CRP Comparison"/>
      <sheetName val="Concrete"/>
      <sheetName val="Local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
          <cell r="A1" t="str">
            <v>ORISSA POWER TRANSMISSION CORPORATION LIMITED</v>
          </cell>
        </row>
        <row r="2">
          <cell r="A2" t="str">
            <v>1.Construction of 132/33KV Sub-Stations alongwith 132KV Transmission Line and associated system at KONARK</v>
          </cell>
        </row>
        <row r="3">
          <cell r="A3" t="str">
            <v>2.Construction of  132 KV Bay Extension work at 132/33 KV Sub-station, NIMAPARA</v>
          </cell>
        </row>
        <row r="4">
          <cell r="A4" t="str">
            <v>BID DOCUMENT No.:  SR. G.M-CPC-TENDER-KONARK-53/2011</v>
          </cell>
        </row>
        <row r="5">
          <cell r="A5" t="str">
            <v>(Equipment/Materials Price Break-up of Ex-works Prices against Package-KONARK)</v>
          </cell>
        </row>
        <row r="6">
          <cell r="A6" t="str">
            <v>Bidder's Name &amp; Address:</v>
          </cell>
        </row>
        <row r="7">
          <cell r="B7" t="str">
            <v xml:space="preserve">Bajaj Electricals Limited, 15/17, Sant Savta Marg, </v>
          </cell>
        </row>
        <row r="8">
          <cell r="B8" t="str">
            <v>Reay Road, Mumbai-400010</v>
          </cell>
        </row>
        <row r="9">
          <cell r="B9" t="str">
            <v>PART-I, SCHEDULE-3 (FOR SUBSTATION)</v>
          </cell>
          <cell r="F9" t="str">
            <v>PRICE TO BE QUOTED IN INR</v>
          </cell>
          <cell r="P9" t="str">
            <v>MATERIAL COST</v>
          </cell>
          <cell r="R9" t="str">
            <v>LR</v>
          </cell>
          <cell r="S9" t="str">
            <v>SUPPLY</v>
          </cell>
        </row>
        <row r="10">
          <cell r="A10" t="str">
            <v>Sl. No.</v>
          </cell>
          <cell r="B10" t="str">
            <v>SUPPLY OF MANDATORY SPARES FOR THE FOLLOWING EQUIPMENTS.
(As per Technical Specification)</v>
          </cell>
          <cell r="C10" t="str">
            <v>Unit</v>
          </cell>
          <cell r="D10" t="str">
            <v>Quantity for 132/33kV Substation at KONARK (1Fdr+2Tfr+1B/C)132 KV Bays &amp; 8 nos. (5fdr+2Tfr+1 B/c) 33kV bays</v>
          </cell>
          <cell r="E10" t="str">
            <v>TOTAL QTY</v>
          </cell>
          <cell r="F10" t="str">
            <v>Unit Ex-works (Rs.)</v>
          </cell>
          <cell r="G10" t="str">
            <v>Total Ex-works (Rs.)</v>
          </cell>
          <cell r="H10" t="str">
            <v>Mode of Transaction/
(Bought out/Direct)</v>
          </cell>
          <cell r="I10" t="str">
            <v>Excise Duty (Rs.)</v>
          </cell>
          <cell r="J10" t="str">
            <v>Sales Tax/VAT (Rs.)</v>
          </cell>
          <cell r="K10" t="str">
            <v>Other levies
 (if any)</v>
          </cell>
          <cell r="L10" t="str">
            <v>Unit (F&amp;I)</v>
          </cell>
          <cell r="M10" t="str">
            <v>Total (F&amp;I)</v>
          </cell>
          <cell r="N10" t="str">
            <v>Total Price</v>
          </cell>
          <cell r="P10" t="str">
            <v>UR</v>
          </cell>
          <cell r="Q10" t="str">
            <v>TOTAL</v>
          </cell>
          <cell r="R10">
            <v>1.129603752525457</v>
          </cell>
          <cell r="S10" t="str">
            <v>UR</v>
          </cell>
          <cell r="T10" t="str">
            <v>TOTAL</v>
          </cell>
        </row>
        <row r="11">
          <cell r="A11">
            <v>1</v>
          </cell>
          <cell r="B11">
            <v>2</v>
          </cell>
          <cell r="C11">
            <v>3</v>
          </cell>
          <cell r="D11">
            <v>4</v>
          </cell>
          <cell r="E11">
            <v>5</v>
          </cell>
          <cell r="F11">
            <v>6</v>
          </cell>
          <cell r="G11">
            <v>7</v>
          </cell>
          <cell r="H11">
            <v>8</v>
          </cell>
          <cell r="I11">
            <v>9</v>
          </cell>
          <cell r="J11">
            <v>10</v>
          </cell>
          <cell r="K11">
            <v>11</v>
          </cell>
          <cell r="L11">
            <v>12</v>
          </cell>
          <cell r="M11">
            <v>13</v>
          </cell>
          <cell r="N11">
            <v>14</v>
          </cell>
        </row>
        <row r="12">
          <cell r="A12">
            <v>1</v>
          </cell>
          <cell r="B12" t="str">
            <v>145 KV,800/400/200A,40KA, 4CORE SINGLE PHASE CURRENT TRANSFORMER</v>
          </cell>
          <cell r="C12" t="str">
            <v>NO</v>
          </cell>
          <cell r="D12">
            <v>1</v>
          </cell>
        </row>
        <row r="13">
          <cell r="A13">
            <v>2</v>
          </cell>
          <cell r="B13" t="str">
            <v>145 KV,1200A,40KA,ISOLATORS</v>
          </cell>
        </row>
        <row r="14">
          <cell r="A14">
            <v>2.1</v>
          </cell>
          <cell r="B14" t="str">
            <v>MALE &amp; FEMALE CONTACTS</v>
          </cell>
          <cell r="C14" t="str">
            <v>SET</v>
          </cell>
          <cell r="D14">
            <v>1</v>
          </cell>
        </row>
        <row r="15">
          <cell r="A15">
            <v>2.2000000000000002</v>
          </cell>
          <cell r="B15" t="str">
            <v>POWER CONTACTOR,RELAYS,MCBs,
SWITCHES,FUSES,PUSH BUTTONS,RESISTORS ETC AS PER APPROVED SCHEMATIC.</v>
          </cell>
          <cell r="C15" t="str">
            <v>SET</v>
          </cell>
          <cell r="D15">
            <v>1</v>
          </cell>
        </row>
        <row r="16">
          <cell r="A16">
            <v>2.2999999999999998</v>
          </cell>
          <cell r="B16" t="str">
            <v>LIMIT SWITCH</v>
          </cell>
          <cell r="C16" t="str">
            <v>SET</v>
          </cell>
          <cell r="D16">
            <v>2</v>
          </cell>
        </row>
        <row r="17">
          <cell r="A17">
            <v>2.4</v>
          </cell>
          <cell r="B17" t="str">
            <v>MOTOR WITH GEAR ASSEMBLY &amp; BEVEL 
GEAR ASSEMBLY COMPLETE.</v>
          </cell>
          <cell r="C17" t="str">
            <v>SET</v>
          </cell>
          <cell r="D17">
            <v>1</v>
          </cell>
        </row>
        <row r="18">
          <cell r="A18">
            <v>2.5</v>
          </cell>
          <cell r="B18" t="str">
            <v>AUXILIARY SWITCH CONTACTS ASSEMBLY</v>
          </cell>
          <cell r="C18" t="str">
            <v>SET</v>
          </cell>
          <cell r="D18">
            <v>1</v>
          </cell>
        </row>
        <row r="19">
          <cell r="A19">
            <v>2.6</v>
          </cell>
          <cell r="B19" t="str">
            <v>EARTHING ROD &amp; BLADE CONTACT SIDE</v>
          </cell>
          <cell r="C19" t="str">
            <v>SET</v>
          </cell>
          <cell r="D19">
            <v>1</v>
          </cell>
        </row>
        <row r="20">
          <cell r="A20">
            <v>2.7</v>
          </cell>
          <cell r="B20" t="str">
            <v>HINGE PINS,TERMINAL CONNECTOR,TERMINAL PAD</v>
          </cell>
          <cell r="C20" t="str">
            <v>SET</v>
          </cell>
          <cell r="D20">
            <v>1</v>
          </cell>
        </row>
        <row r="21">
          <cell r="A21">
            <v>2.8</v>
          </cell>
          <cell r="B21" t="str">
            <v>SUB TOTAL OF Sl. No. 2</v>
          </cell>
        </row>
        <row r="22">
          <cell r="A22">
            <v>3</v>
          </cell>
          <cell r="B22" t="str">
            <v>145 KV,6600pF,3CORE,SINGLE PHASE
CAPACITOR VOLTAGE TRANSFORMER INCLUDING TERMINAL CONNECTOR</v>
          </cell>
          <cell r="C22" t="str">
            <v>NOS</v>
          </cell>
          <cell r="D22">
            <v>1</v>
          </cell>
        </row>
        <row r="23">
          <cell r="A23">
            <v>4</v>
          </cell>
          <cell r="B23" t="str">
            <v>120 KV,METAL OXIDE, 10 KA CLASS III SURGE 
ARRESTOR COMPLETING WITH INSULATING BASE &amp; SURGE MONITOR.</v>
          </cell>
          <cell r="C23" t="str">
            <v>NOS</v>
          </cell>
          <cell r="D23">
            <v>2</v>
          </cell>
        </row>
        <row r="24">
          <cell r="A24">
            <v>5</v>
          </cell>
          <cell r="B24" t="str">
            <v>145 KV ,2 CORE,SINGLE PHASE,IVT INCLUDING TERMINAL CONNECTOR</v>
          </cell>
          <cell r="C24" t="str">
            <v>NOS</v>
          </cell>
          <cell r="D24">
            <v>1</v>
          </cell>
        </row>
        <row r="25">
          <cell r="A25">
            <v>6</v>
          </cell>
          <cell r="B25" t="str">
            <v>132 KV Bus Post Insulators</v>
          </cell>
          <cell r="C25" t="str">
            <v>NOS</v>
          </cell>
          <cell r="D25">
            <v>3</v>
          </cell>
        </row>
        <row r="26">
          <cell r="A26">
            <v>7</v>
          </cell>
          <cell r="B26" t="str">
            <v>145KV,3150A,40K.A,SF6,CIRCUIT BREAKER</v>
          </cell>
        </row>
        <row r="27">
          <cell r="A27" t="str">
            <v>7.1</v>
          </cell>
          <cell r="B27" t="str">
            <v>COMPLETE ONE POLE ASSEMBLY OF BREAKER</v>
          </cell>
          <cell r="C27" t="str">
            <v>NOS</v>
          </cell>
          <cell r="D27">
            <v>1</v>
          </cell>
        </row>
        <row r="28">
          <cell r="A28">
            <v>7.2</v>
          </cell>
          <cell r="B28" t="str">
            <v>SPRING CHARGING MOTOR</v>
          </cell>
          <cell r="C28" t="str">
            <v>NOS</v>
          </cell>
          <cell r="D28">
            <v>1</v>
          </cell>
        </row>
        <row r="29">
          <cell r="A29">
            <v>7.3</v>
          </cell>
          <cell r="B29" t="str">
            <v>BREKER AUXILIARY CONTACTS</v>
          </cell>
          <cell r="C29" t="str">
            <v>SET</v>
          </cell>
          <cell r="D29">
            <v>1</v>
          </cell>
        </row>
        <row r="30">
          <cell r="A30">
            <v>7.4</v>
          </cell>
          <cell r="B30" t="str">
            <v>POWER CONTACTORS,RELAYS,MCBs,
SWITCHES,FUSES,PUSH BUTTONS,RESISTORS,PRESSURE SWITCHES,LIMIT SWITCHES, ETC AS PER APPROVED SCHEMATIC.</v>
          </cell>
          <cell r="C30" t="str">
            <v>SET</v>
          </cell>
          <cell r="D30">
            <v>1</v>
          </cell>
        </row>
        <row r="31">
          <cell r="A31">
            <v>7.5</v>
          </cell>
          <cell r="B31" t="str">
            <v>DENSITY MONITORING SYSTEM</v>
          </cell>
          <cell r="C31" t="str">
            <v>SET</v>
          </cell>
          <cell r="D31">
            <v>1</v>
          </cell>
        </row>
        <row r="32">
          <cell r="A32">
            <v>7.6</v>
          </cell>
          <cell r="B32" t="str">
            <v>CLOSING COIL</v>
          </cell>
          <cell r="C32" t="str">
            <v>NOS</v>
          </cell>
          <cell r="D32">
            <v>4</v>
          </cell>
        </row>
        <row r="33">
          <cell r="A33">
            <v>7.7</v>
          </cell>
          <cell r="B33" t="str">
            <v>TRIPPING COIL</v>
          </cell>
          <cell r="C33" t="str">
            <v>NOS</v>
          </cell>
          <cell r="D33">
            <v>4</v>
          </cell>
        </row>
        <row r="34">
          <cell r="A34">
            <v>7.8</v>
          </cell>
          <cell r="B34" t="str">
            <v>SF6 GAS FILLING DEVICE</v>
          </cell>
          <cell r="C34" t="str">
            <v>NOS</v>
          </cell>
          <cell r="D34">
            <v>1</v>
          </cell>
        </row>
        <row r="35">
          <cell r="A35">
            <v>7.9</v>
          </cell>
          <cell r="B35" t="str">
            <v>SET OF GASKETS ,"O" RINGS,SEALS PER CIRCUIT BREAKER</v>
          </cell>
          <cell r="C35" t="str">
            <v>SET</v>
          </cell>
          <cell r="D35">
            <v>1</v>
          </cell>
        </row>
        <row r="36">
          <cell r="A36">
            <v>7.1</v>
          </cell>
          <cell r="B36" t="str">
            <v>SUB TOTAL OF Sl. No. 7</v>
          </cell>
        </row>
        <row r="37">
          <cell r="A37">
            <v>8</v>
          </cell>
          <cell r="B37" t="str">
            <v>36 KV,800-400-200/1-1-1 Ratio,25KA,3CORE SINGLE 
PHASE CURRENT TRANSFORMER</v>
          </cell>
          <cell r="C37" t="str">
            <v>NOS</v>
          </cell>
          <cell r="D37">
            <v>2</v>
          </cell>
        </row>
        <row r="38">
          <cell r="A38">
            <v>9</v>
          </cell>
          <cell r="B38" t="str">
            <v>36 KV,800A,25KA,ISOLATORS</v>
          </cell>
        </row>
        <row r="39">
          <cell r="A39">
            <v>9.1</v>
          </cell>
          <cell r="B39" t="str">
            <v>MALE &amp; FEMALE CONTACTS</v>
          </cell>
          <cell r="C39" t="str">
            <v>SET</v>
          </cell>
          <cell r="D39">
            <v>1</v>
          </cell>
        </row>
        <row r="40">
          <cell r="A40">
            <v>9.1999999999999993</v>
          </cell>
          <cell r="B40" t="str">
            <v>POWER CONTACTOR,RELAYS,MCBs,
SWITCHES,FUSES,PUSH BUTTONS,RESISTORS ETC AS PER APPROVED SCHEMATIC.</v>
          </cell>
          <cell r="C40" t="str">
            <v>SET</v>
          </cell>
          <cell r="D40">
            <v>1</v>
          </cell>
        </row>
        <row r="41">
          <cell r="A41">
            <v>9.3000000000000007</v>
          </cell>
          <cell r="B41" t="str">
            <v>LIMIT SWITCH</v>
          </cell>
          <cell r="C41" t="str">
            <v>SET</v>
          </cell>
          <cell r="D41">
            <v>2</v>
          </cell>
        </row>
        <row r="42">
          <cell r="A42">
            <v>9.4</v>
          </cell>
          <cell r="B42" t="str">
            <v>MOTOR WITH GEAR ASSEMBLY &amp; BEVEL 
GEAR ASSEMBLY COMPLETE.</v>
          </cell>
          <cell r="C42" t="str">
            <v>SET</v>
          </cell>
          <cell r="D42">
            <v>1</v>
          </cell>
        </row>
        <row r="43">
          <cell r="A43">
            <v>9.5</v>
          </cell>
          <cell r="B43" t="str">
            <v>AUXILIARY SWITCH CONTACTS ASSEMBLY</v>
          </cell>
          <cell r="C43" t="str">
            <v>SET</v>
          </cell>
          <cell r="D43">
            <v>1</v>
          </cell>
        </row>
        <row r="44">
          <cell r="A44">
            <v>9.6</v>
          </cell>
          <cell r="B44" t="str">
            <v>EARTHING ROD &amp; BLADE CONTACT SIDE</v>
          </cell>
          <cell r="C44" t="str">
            <v>SET</v>
          </cell>
          <cell r="D44">
            <v>1</v>
          </cell>
        </row>
        <row r="45">
          <cell r="A45">
            <v>9.6999999999999993</v>
          </cell>
          <cell r="B45" t="str">
            <v>HINGE PINS,TERMINAL CONNECTOR,TERMINAL PAD</v>
          </cell>
          <cell r="C45" t="str">
            <v>SET</v>
          </cell>
          <cell r="D45">
            <v>1</v>
          </cell>
        </row>
        <row r="46">
          <cell r="A46">
            <v>9.8000000000000007</v>
          </cell>
          <cell r="B46" t="str">
            <v>SUB TOTAL OF Sl. No. 9</v>
          </cell>
        </row>
        <row r="47">
          <cell r="A47">
            <v>10</v>
          </cell>
          <cell r="B47" t="str">
            <v>30 KV,METAL OXIDE, 10 KA CLASS II SURGE 
ARRESTOR COMPLETE WITH INSULATOR BASE AND SURGE MONITOR</v>
          </cell>
          <cell r="C47" t="str">
            <v>NOS</v>
          </cell>
          <cell r="D47">
            <v>3</v>
          </cell>
        </row>
        <row r="48">
          <cell r="A48">
            <v>11</v>
          </cell>
          <cell r="B48" t="str">
            <v>36 KV ,2 CORE,SINGLE PHASE,IVT 
INCLUDING TERMINAL CONNECTOR</v>
          </cell>
          <cell r="C48" t="str">
            <v>NOS</v>
          </cell>
          <cell r="D48">
            <v>1</v>
          </cell>
        </row>
        <row r="49">
          <cell r="A49">
            <v>12</v>
          </cell>
          <cell r="B49" t="str">
            <v>36KV,1250A,25KA,VACUUM CIRCUIT BREAKER</v>
          </cell>
        </row>
        <row r="50">
          <cell r="A50">
            <v>12.1</v>
          </cell>
          <cell r="B50" t="str">
            <v>ONE COMPLETE POLE ASSEMBLY OF 
CIRCUIT BREAKER</v>
          </cell>
          <cell r="C50" t="str">
            <v>SET</v>
          </cell>
          <cell r="D50">
            <v>1</v>
          </cell>
        </row>
        <row r="51">
          <cell r="A51">
            <v>12.2</v>
          </cell>
          <cell r="B51" t="str">
            <v>TRIPPING CIOLS</v>
          </cell>
          <cell r="C51" t="str">
            <v>NOS</v>
          </cell>
          <cell r="D51">
            <v>4</v>
          </cell>
        </row>
        <row r="52">
          <cell r="A52">
            <v>12.3</v>
          </cell>
          <cell r="B52" t="str">
            <v>CLOSING COIL</v>
          </cell>
          <cell r="C52" t="str">
            <v>NOS</v>
          </cell>
          <cell r="D52">
            <v>4</v>
          </cell>
        </row>
        <row r="53">
          <cell r="A53">
            <v>12.4</v>
          </cell>
          <cell r="B53" t="str">
            <v>SPRING CHARGING MOTOR</v>
          </cell>
          <cell r="C53" t="str">
            <v>NOS</v>
          </cell>
          <cell r="D53">
            <v>1</v>
          </cell>
        </row>
        <row r="54">
          <cell r="A54">
            <v>12.5</v>
          </cell>
          <cell r="B54" t="str">
            <v>AUXILIARY SWITCH CONTACTS ASSEMBLY</v>
          </cell>
          <cell r="C54" t="str">
            <v>SET</v>
          </cell>
          <cell r="D54">
            <v>1</v>
          </cell>
        </row>
        <row r="55">
          <cell r="A55">
            <v>12.6</v>
          </cell>
          <cell r="B55" t="str">
            <v>SET OF GASKET,"O" RINGS,SEALING PER
CIRCUIT BREAKER</v>
          </cell>
          <cell r="C55" t="str">
            <v>SET</v>
          </cell>
          <cell r="D55">
            <v>1</v>
          </cell>
        </row>
        <row r="56">
          <cell r="A56">
            <v>12.7</v>
          </cell>
          <cell r="B56" t="str">
            <v>POWER CONTACTORS,RELAYS,MCBs,
SWITCHES,FUSES,PUSH BUTTONS,RESISTORS,PRESSURE SWITCHES,LIMIT SWITCHES, ETC AS PER APPROVED SCHEMATIC.</v>
          </cell>
          <cell r="C56" t="str">
            <v>SET</v>
          </cell>
          <cell r="D56">
            <v>1</v>
          </cell>
        </row>
        <row r="57">
          <cell r="A57">
            <v>12.8</v>
          </cell>
          <cell r="B57" t="str">
            <v>SUB TOTAL OF Sl. No. 12</v>
          </cell>
        </row>
        <row r="58">
          <cell r="A58">
            <v>13</v>
          </cell>
          <cell r="B58" t="str">
            <v>33 KV Bus Post Insulators</v>
          </cell>
          <cell r="C58" t="str">
            <v>NOS</v>
          </cell>
          <cell r="D58">
            <v>3</v>
          </cell>
        </row>
        <row r="59">
          <cell r="A59">
            <v>14</v>
          </cell>
          <cell r="B59" t="str">
            <v>BUS BAR &amp; CIRCUIT MATERIALS( all insulators as indicated below shall be of “ANTIFOG” Type)</v>
          </cell>
        </row>
        <row r="60">
          <cell r="A60">
            <v>14.1</v>
          </cell>
          <cell r="B60" t="str">
            <v>120 KN INSULATOR STRINGS for Double Moose cond (TENSION)-132 KV</v>
          </cell>
          <cell r="C60" t="str">
            <v>SET</v>
          </cell>
          <cell r="D60">
            <v>2</v>
          </cell>
        </row>
        <row r="61">
          <cell r="A61">
            <v>14.2</v>
          </cell>
          <cell r="B61" t="str">
            <v>120 KN INSULATOR STRINGS for single Moose cond (TENSION)-132 KV</v>
          </cell>
          <cell r="C61" t="str">
            <v>SET</v>
          </cell>
          <cell r="D61">
            <v>2</v>
          </cell>
        </row>
        <row r="62">
          <cell r="A62">
            <v>14.3</v>
          </cell>
          <cell r="B62" t="str">
            <v>120 KN INSULATOR STRINGS for Double Moose cond ( TENSION)-33 KV</v>
          </cell>
          <cell r="C62" t="str">
            <v>SET</v>
          </cell>
          <cell r="D62">
            <v>2</v>
          </cell>
        </row>
        <row r="63">
          <cell r="A63">
            <v>14.4</v>
          </cell>
          <cell r="B63" t="str">
            <v>120 KN INSULATOR STRINGS for Single Moose cond(TENSION)-33 KV</v>
          </cell>
          <cell r="C63" t="str">
            <v>SET</v>
          </cell>
          <cell r="D63">
            <v>2</v>
          </cell>
        </row>
        <row r="64">
          <cell r="A64">
            <v>14.5</v>
          </cell>
          <cell r="B64" t="str">
            <v>90 KN INSULATOR STRINGS  for Double/ Single Moose cond (SUSPENSION)-132 KV</v>
          </cell>
          <cell r="C64" t="str">
            <v>SET</v>
          </cell>
          <cell r="D64">
            <v>2</v>
          </cell>
        </row>
        <row r="65">
          <cell r="A65">
            <v>14.9</v>
          </cell>
          <cell r="B65" t="str">
            <v>90 KN INSULATOR STRINGS  for Double/ Single Moose cond (SUSPENSION)-33 KV</v>
          </cell>
          <cell r="C65" t="str">
            <v>SET</v>
          </cell>
          <cell r="D65">
            <v>2</v>
          </cell>
        </row>
        <row r="66">
          <cell r="A66">
            <v>14.1</v>
          </cell>
          <cell r="B66" t="str">
            <v>SUB TOTAL OF Sl. No. 14</v>
          </cell>
        </row>
        <row r="67">
          <cell r="A67">
            <v>15</v>
          </cell>
          <cell r="B67" t="str">
            <v>ACSR MOOSE CONDUCTOR</v>
          </cell>
          <cell r="C67" t="str">
            <v>MTRS</v>
          </cell>
          <cell r="D67">
            <v>200</v>
          </cell>
        </row>
        <row r="68">
          <cell r="A68">
            <v>16</v>
          </cell>
          <cell r="B68" t="str">
            <v>HARDWARES &amp; FITTINGS/SPACERS/CLAMP
 &amp; CONNECTORS</v>
          </cell>
          <cell r="C68" t="str">
            <v>SET (EACH TYPE THREE NOS.)</v>
          </cell>
          <cell r="D68">
            <v>1</v>
          </cell>
        </row>
        <row r="69">
          <cell r="A69">
            <v>17</v>
          </cell>
          <cell r="B69" t="str">
            <v>GENERAL EQUIPMENT &amp; SUBSTATION 
ACCESSORIES</v>
          </cell>
        </row>
        <row r="70">
          <cell r="A70">
            <v>17.100000000000001</v>
          </cell>
          <cell r="B70" t="str">
            <v>POWER CABLES,1.1KV,XLPE,ARMOURED,
ALUMINIUM CONDUCTOR(As per Specification)</v>
          </cell>
        </row>
        <row r="71">
          <cell r="A71" t="str">
            <v>17.1.1</v>
          </cell>
          <cell r="B71" t="str">
            <v>3.5 CX300 mm2 (ONE PIECE OF MAXM. LENGTH OF CABLE USED)</v>
          </cell>
          <cell r="C71" t="str">
            <v>PCS.</v>
          </cell>
          <cell r="D71">
            <v>1</v>
          </cell>
        </row>
        <row r="72">
          <cell r="A72" t="str">
            <v>17.1.2</v>
          </cell>
          <cell r="B72" t="str">
            <v>3.5 CX185 mm2 (ONE PIECE OF MAXM. LENGTH OF CABLE USED)</v>
          </cell>
          <cell r="C72" t="str">
            <v>PCS.</v>
          </cell>
          <cell r="D72">
            <v>1</v>
          </cell>
        </row>
        <row r="73">
          <cell r="A73" t="str">
            <v>17.1.3</v>
          </cell>
          <cell r="B73" t="str">
            <v>3.5 CX120 mm2 (ONE PIECE OF MAXM. LENGTH OF CABLE USED)</v>
          </cell>
          <cell r="C73" t="str">
            <v>PCS.</v>
          </cell>
          <cell r="D73">
            <v>1</v>
          </cell>
        </row>
        <row r="74">
          <cell r="A74" t="str">
            <v>17.1.4</v>
          </cell>
          <cell r="B74" t="str">
            <v>3.5 CX70 mm2 (ONE PIECE OF MAXM. LENGTH OF CABLE USED)</v>
          </cell>
          <cell r="C74" t="str">
            <v>PCS.</v>
          </cell>
          <cell r="D74">
            <v>1</v>
          </cell>
        </row>
        <row r="75">
          <cell r="A75" t="str">
            <v>17.1.5</v>
          </cell>
          <cell r="B75" t="str">
            <v>3.5 CX35 mm2 (ONE PIECE OF MAXM. LENGTH OF CABLE USED)</v>
          </cell>
          <cell r="C75" t="str">
            <v>PCS.</v>
          </cell>
          <cell r="D75">
            <v>1</v>
          </cell>
        </row>
        <row r="76">
          <cell r="A76" t="str">
            <v>17.1.6</v>
          </cell>
          <cell r="B76" t="str">
            <v>4 CX 16 mm2</v>
          </cell>
          <cell r="C76" t="str">
            <v>MTRS</v>
          </cell>
          <cell r="D76">
            <v>250</v>
          </cell>
        </row>
        <row r="77">
          <cell r="A77" t="str">
            <v>17.1.7</v>
          </cell>
          <cell r="B77" t="str">
            <v>4 CX 6 mm2</v>
          </cell>
          <cell r="C77" t="str">
            <v>MTRS</v>
          </cell>
          <cell r="D77">
            <v>250</v>
          </cell>
        </row>
        <row r="78">
          <cell r="A78" t="str">
            <v>17.1.8</v>
          </cell>
          <cell r="B78" t="str">
            <v>2CX 6 mm2</v>
          </cell>
          <cell r="C78" t="str">
            <v>MTRS</v>
          </cell>
          <cell r="D78">
            <v>250</v>
          </cell>
        </row>
        <row r="79">
          <cell r="A79">
            <v>17.2</v>
          </cell>
          <cell r="B79" t="str">
            <v>CONTROL CABLES,1.1 KV, PVC,STRANDED COPPER(As per specification)</v>
          </cell>
        </row>
        <row r="80">
          <cell r="A80" t="str">
            <v>17.2.1</v>
          </cell>
          <cell r="B80" t="str">
            <v>4 CX 2.5 mm2</v>
          </cell>
          <cell r="C80" t="str">
            <v>KMS</v>
          </cell>
          <cell r="D80">
            <v>1</v>
          </cell>
        </row>
        <row r="81">
          <cell r="A81" t="str">
            <v>17.2.2</v>
          </cell>
          <cell r="B81" t="str">
            <v>5 CX 2.5 mm2</v>
          </cell>
          <cell r="C81" t="str">
            <v>KMS</v>
          </cell>
          <cell r="D81">
            <v>1</v>
          </cell>
        </row>
        <row r="82">
          <cell r="A82" t="str">
            <v>17.2.3</v>
          </cell>
          <cell r="B82" t="str">
            <v>7 CX 2.5 mm2</v>
          </cell>
          <cell r="C82" t="str">
            <v>KMS</v>
          </cell>
          <cell r="D82">
            <v>1</v>
          </cell>
        </row>
        <row r="83">
          <cell r="A83" t="str">
            <v>17.2.4</v>
          </cell>
          <cell r="B83" t="str">
            <v>10 CX 2.5 mm2</v>
          </cell>
          <cell r="C83" t="str">
            <v>KMS</v>
          </cell>
          <cell r="D83">
            <v>0.5</v>
          </cell>
        </row>
        <row r="84">
          <cell r="A84" t="str">
            <v>17.2.5</v>
          </cell>
          <cell r="B84" t="str">
            <v xml:space="preserve">12 CX 2.5 mm2 </v>
          </cell>
          <cell r="C84" t="str">
            <v>KMS</v>
          </cell>
          <cell r="D84">
            <v>0.5</v>
          </cell>
        </row>
        <row r="85">
          <cell r="A85" t="str">
            <v>17.2.6</v>
          </cell>
          <cell r="B85" t="str">
            <v xml:space="preserve">16 CX 2.5 mm2 </v>
          </cell>
          <cell r="C85" t="str">
            <v>NOS.</v>
          </cell>
          <cell r="D85">
            <v>0.5</v>
          </cell>
        </row>
        <row r="86">
          <cell r="A86" t="str">
            <v>17.2.7</v>
          </cell>
          <cell r="B86" t="str">
            <v xml:space="preserve">19 CX 2.5 mm2 </v>
          </cell>
          <cell r="C86" t="str">
            <v>NOS.</v>
          </cell>
          <cell r="D86">
            <v>0.5</v>
          </cell>
        </row>
        <row r="87">
          <cell r="A87" t="str">
            <v>17.2.8</v>
          </cell>
          <cell r="B87" t="str">
            <v>1CX 100 mm2 
BAT TO BAT CHARGER &amp; CHARGER TO DCDB</v>
          </cell>
          <cell r="C87" t="str">
            <v>MTRS</v>
          </cell>
          <cell r="D87">
            <v>50</v>
          </cell>
        </row>
        <row r="88">
          <cell r="A88">
            <v>17.3</v>
          </cell>
          <cell r="B88" t="str">
            <v>SUB TOTAL OF Sl. No. 17</v>
          </cell>
        </row>
        <row r="89">
          <cell r="A89">
            <v>18</v>
          </cell>
          <cell r="B89" t="str">
            <v>CARRIER COMMUNICATION &amp; OTHER MATERIALS</v>
          </cell>
        </row>
        <row r="90">
          <cell r="A90">
            <v>18.100000000000001</v>
          </cell>
          <cell r="B90" t="str">
            <v>132 KV,800 A,0.5mH,Pedestal Mounting 
WAVE TRAP</v>
          </cell>
          <cell r="C90" t="str">
            <v>NOS</v>
          </cell>
          <cell r="D90">
            <v>1</v>
          </cell>
        </row>
        <row r="91">
          <cell r="A91">
            <v>18.2</v>
          </cell>
          <cell r="B91" t="str">
            <v>LINE MATCHING UNIT &amp; 
LINE MATCHING DISTRIBUTION UNIT</v>
          </cell>
          <cell r="C91" t="str">
            <v>SET</v>
          </cell>
          <cell r="D91">
            <v>1</v>
          </cell>
        </row>
        <row r="92">
          <cell r="A92">
            <v>18.3</v>
          </cell>
          <cell r="B92" t="str">
            <v>PLANTE TYPE BATTERY 350 AH, ONE COMPLETE ASSEMBLY OF BATTERY(FOR 48 V)</v>
          </cell>
          <cell r="C92" t="str">
            <v>NO</v>
          </cell>
          <cell r="D92">
            <v>1</v>
          </cell>
        </row>
        <row r="93">
          <cell r="A93">
            <v>18.399999999999999</v>
          </cell>
          <cell r="B93" t="str">
            <v>PLANTE TYPE BATTERY 350 AH, ONE COMPLETE ASSEMBLY OF BATTERY(FOR 220 V)</v>
          </cell>
          <cell r="C93" t="str">
            <v>NO</v>
          </cell>
          <cell r="D93">
            <v>1</v>
          </cell>
        </row>
        <row r="94">
          <cell r="A94">
            <v>18.5</v>
          </cell>
          <cell r="B94" t="str">
            <v>BATTERY CHARGER FOR 350 AH (48V) ONE COMPLETE SET OF ELECTRONIC CARDS</v>
          </cell>
          <cell r="C94" t="str">
            <v>SET</v>
          </cell>
          <cell r="D94">
            <v>1</v>
          </cell>
        </row>
        <row r="95">
          <cell r="A95">
            <v>18.600000000000001</v>
          </cell>
          <cell r="B95" t="str">
            <v>BATTERY CHARGER FOR 350 AH (220V) ONE COMPLETE SET OF ELECTRONIC CARDS</v>
          </cell>
          <cell r="C95" t="str">
            <v>SET</v>
          </cell>
          <cell r="D95">
            <v>1</v>
          </cell>
        </row>
        <row r="96">
          <cell r="A96">
            <v>18.7</v>
          </cell>
          <cell r="B96" t="str">
            <v>SUB TOTAL OF Sl. No. 18</v>
          </cell>
        </row>
        <row r="97">
          <cell r="A97">
            <v>19</v>
          </cell>
          <cell r="B97" t="str">
            <v>PROTECTION,CONTROL METERING,EVENT LOGGER,BUS BAR PROTN PAN,COMM PAN,RELAY TOOL KITS AS PER
 TECH SPEC AND BOQ FOR PCM</v>
          </cell>
        </row>
        <row r="98">
          <cell r="A98">
            <v>19.100000000000001</v>
          </cell>
          <cell r="B98" t="str">
            <v>132 KV SIDE</v>
          </cell>
        </row>
        <row r="99">
          <cell r="A99" t="str">
            <v>19.1.1</v>
          </cell>
          <cell r="B99" t="str">
            <v>DISTANCE PROTECTION RELAY</v>
          </cell>
          <cell r="C99" t="str">
            <v>NOS</v>
          </cell>
          <cell r="D99">
            <v>1</v>
          </cell>
        </row>
        <row r="100">
          <cell r="A100" t="str">
            <v>19.1.2</v>
          </cell>
          <cell r="B100" t="str">
            <v>OVER CURRENT &amp; EARTH FAULT RELAY</v>
          </cell>
          <cell r="C100" t="str">
            <v>NOS</v>
          </cell>
          <cell r="D100">
            <v>1</v>
          </cell>
        </row>
        <row r="101">
          <cell r="A101" t="str">
            <v>19.1.3</v>
          </cell>
          <cell r="B101" t="str">
            <v>MASTER TRIP RELAY</v>
          </cell>
          <cell r="C101" t="str">
            <v>NOS</v>
          </cell>
          <cell r="D101">
            <v>2</v>
          </cell>
        </row>
        <row r="102">
          <cell r="A102" t="str">
            <v>19.1.4</v>
          </cell>
          <cell r="B102" t="str">
            <v>DIFFERENTIAL PROTECTION RELAY</v>
          </cell>
          <cell r="C102" t="str">
            <v>NOS</v>
          </cell>
          <cell r="D102">
            <v>1</v>
          </cell>
        </row>
        <row r="103">
          <cell r="A103" t="str">
            <v>19.1.5</v>
          </cell>
          <cell r="B103" t="str">
            <v>TRIP SUPERVISION RELAY</v>
          </cell>
          <cell r="C103" t="str">
            <v>NOS</v>
          </cell>
          <cell r="D103">
            <v>2</v>
          </cell>
        </row>
        <row r="104">
          <cell r="A104" t="str">
            <v>19.1.6</v>
          </cell>
          <cell r="B104" t="str">
            <v>OTHER AUXILIARY RELAYS(EACH 1 NO. OF DIFFERENT TYPE)</v>
          </cell>
          <cell r="C104" t="str">
            <v>SET</v>
          </cell>
          <cell r="D104">
            <v>1</v>
          </cell>
        </row>
        <row r="105">
          <cell r="A105" t="str">
            <v>19.1.7</v>
          </cell>
          <cell r="B105" t="str">
            <v>ANNUNCIATOR</v>
          </cell>
          <cell r="C105" t="str">
            <v>NOS</v>
          </cell>
          <cell r="D105">
            <v>2</v>
          </cell>
        </row>
        <row r="106">
          <cell r="A106" t="str">
            <v>19.1.8</v>
          </cell>
          <cell r="B106" t="str">
            <v>DISCREPANCY CONTROL SWITCH</v>
          </cell>
        </row>
        <row r="107">
          <cell r="A107" t="str">
            <v>19.1.9</v>
          </cell>
          <cell r="B107" t="str">
            <v>a) FOR CIRCUIT BREAKER</v>
          </cell>
          <cell r="C107" t="str">
            <v>NOS</v>
          </cell>
          <cell r="D107">
            <v>2</v>
          </cell>
        </row>
        <row r="108">
          <cell r="A108" t="str">
            <v>19.1.10</v>
          </cell>
          <cell r="B108" t="str">
            <v>b) FOR ISOLATOR</v>
          </cell>
          <cell r="C108" t="str">
            <v>NOS</v>
          </cell>
          <cell r="D108">
            <v>2</v>
          </cell>
        </row>
        <row r="109">
          <cell r="A109" t="str">
            <v>19.1.11</v>
          </cell>
          <cell r="B109" t="str">
            <v>PROTECTION TRANSFER SWITCH</v>
          </cell>
          <cell r="C109" t="str">
            <v>NOS</v>
          </cell>
          <cell r="D109">
            <v>1</v>
          </cell>
        </row>
        <row r="110">
          <cell r="A110" t="str">
            <v>19.1.12</v>
          </cell>
          <cell r="B110" t="str">
            <v>AMMETER SELECTOR SWITCH</v>
          </cell>
          <cell r="C110" t="str">
            <v>NOS</v>
          </cell>
          <cell r="D110">
            <v>2</v>
          </cell>
        </row>
        <row r="111">
          <cell r="A111" t="str">
            <v>19.1.13</v>
          </cell>
          <cell r="B111" t="str">
            <v>VOLTMETER SELECTOR SWITCH</v>
          </cell>
          <cell r="C111" t="str">
            <v>NOS</v>
          </cell>
          <cell r="D111">
            <v>2</v>
          </cell>
        </row>
        <row r="112">
          <cell r="A112" t="str">
            <v>19.1.14</v>
          </cell>
          <cell r="B112" t="str">
            <v xml:space="preserve">AMMETER ALONG WITH TRANSDUCER </v>
          </cell>
          <cell r="C112" t="str">
            <v>SET</v>
          </cell>
          <cell r="D112">
            <v>2</v>
          </cell>
        </row>
        <row r="113">
          <cell r="A113" t="str">
            <v>19.1.15</v>
          </cell>
          <cell r="B113" t="str">
            <v>VOLTMETER ALONG WITH TRANSDUCER</v>
          </cell>
          <cell r="C113" t="str">
            <v>SET</v>
          </cell>
          <cell r="D113">
            <v>2</v>
          </cell>
        </row>
        <row r="114">
          <cell r="A114" t="str">
            <v>19.1.16</v>
          </cell>
          <cell r="B114" t="str">
            <v xml:space="preserve">MW METER ALONG WITH TRANSDUCER </v>
          </cell>
          <cell r="C114" t="str">
            <v>SET</v>
          </cell>
          <cell r="D114">
            <v>2</v>
          </cell>
        </row>
        <row r="115">
          <cell r="A115" t="str">
            <v>19.1.17</v>
          </cell>
          <cell r="B115" t="str">
            <v>MVAR METER ALONG WITH TRANSDUCER</v>
          </cell>
          <cell r="C115" t="str">
            <v>SET</v>
          </cell>
          <cell r="D115">
            <v>2</v>
          </cell>
        </row>
        <row r="116">
          <cell r="A116">
            <v>19.2</v>
          </cell>
          <cell r="B116" t="str">
            <v>33 KV SIDE</v>
          </cell>
        </row>
        <row r="117">
          <cell r="A117" t="str">
            <v>19.2.1</v>
          </cell>
          <cell r="B117" t="str">
            <v>OVER CURRENT &amp; EARTH FAULT RELAY</v>
          </cell>
          <cell r="C117" t="str">
            <v>NOS</v>
          </cell>
          <cell r="D117">
            <v>1</v>
          </cell>
        </row>
        <row r="118">
          <cell r="A118" t="str">
            <v>19.2.2</v>
          </cell>
          <cell r="B118" t="str">
            <v>MASTER TRIP RELAY</v>
          </cell>
          <cell r="C118" t="str">
            <v>NOS</v>
          </cell>
          <cell r="D118">
            <v>2</v>
          </cell>
        </row>
        <row r="119">
          <cell r="A119" t="str">
            <v>19.2.3</v>
          </cell>
          <cell r="B119" t="str">
            <v>OTHER AUXILIARY RELAYS (EACH 1 NO. OF DIFFERENT TYPE)</v>
          </cell>
          <cell r="C119" t="str">
            <v>SET</v>
          </cell>
          <cell r="D119">
            <v>1</v>
          </cell>
        </row>
        <row r="120">
          <cell r="A120" t="str">
            <v>19.2.4</v>
          </cell>
          <cell r="B120" t="str">
            <v>ANNUNCIATOR</v>
          </cell>
          <cell r="C120" t="str">
            <v>NOS</v>
          </cell>
          <cell r="D120">
            <v>1</v>
          </cell>
        </row>
        <row r="121">
          <cell r="A121" t="str">
            <v>19.2.5</v>
          </cell>
          <cell r="B121" t="str">
            <v>CONTROL SWITCHES FOR</v>
          </cell>
        </row>
        <row r="122">
          <cell r="A122" t="str">
            <v>19.2.6</v>
          </cell>
          <cell r="B122" t="str">
            <v>a) CIRCUIT BREAKER</v>
          </cell>
          <cell r="C122" t="str">
            <v>NOS</v>
          </cell>
          <cell r="D122">
            <v>1</v>
          </cell>
        </row>
        <row r="123">
          <cell r="A123" t="str">
            <v>19.2.7</v>
          </cell>
          <cell r="B123" t="str">
            <v>b) ISOLATOR</v>
          </cell>
          <cell r="C123" t="str">
            <v>NOS</v>
          </cell>
          <cell r="D123">
            <v>1</v>
          </cell>
        </row>
        <row r="124">
          <cell r="A124" t="str">
            <v>19.2.8</v>
          </cell>
          <cell r="B124" t="str">
            <v>PROTECTION TRANSFER SWITCH</v>
          </cell>
          <cell r="C124" t="str">
            <v>NOS</v>
          </cell>
          <cell r="D124">
            <v>1</v>
          </cell>
        </row>
        <row r="125">
          <cell r="A125" t="str">
            <v>19.2.9</v>
          </cell>
          <cell r="B125" t="str">
            <v>AMMETER SELECTOR SWITCH</v>
          </cell>
          <cell r="C125" t="str">
            <v>NOS</v>
          </cell>
          <cell r="D125">
            <v>2</v>
          </cell>
        </row>
        <row r="126">
          <cell r="A126" t="str">
            <v>19.2.10</v>
          </cell>
          <cell r="B126" t="str">
            <v>VOLTMETER SELECTOR SWITCH</v>
          </cell>
          <cell r="C126" t="str">
            <v>NOS</v>
          </cell>
          <cell r="D126">
            <v>2</v>
          </cell>
        </row>
        <row r="127">
          <cell r="A127" t="str">
            <v>19.2.11</v>
          </cell>
          <cell r="B127" t="str">
            <v xml:space="preserve">AMMETER ALONG WITH TRANSDUCER </v>
          </cell>
          <cell r="C127" t="str">
            <v>SET</v>
          </cell>
          <cell r="D127">
            <v>1</v>
          </cell>
        </row>
        <row r="128">
          <cell r="A128" t="str">
            <v>19.2.12</v>
          </cell>
          <cell r="B128" t="str">
            <v>VOLTMETER ALONG WITH TRANSDUCER</v>
          </cell>
          <cell r="C128" t="str">
            <v>SET</v>
          </cell>
          <cell r="D128">
            <v>1</v>
          </cell>
        </row>
        <row r="129">
          <cell r="A129" t="str">
            <v>19.2.13</v>
          </cell>
          <cell r="B129" t="str">
            <v xml:space="preserve">MW METER ALONG WITH TRANSDUCER </v>
          </cell>
          <cell r="C129" t="str">
            <v>SET</v>
          </cell>
          <cell r="D129">
            <v>1</v>
          </cell>
        </row>
        <row r="130">
          <cell r="A130" t="str">
            <v>19.2.14</v>
          </cell>
          <cell r="B130" t="str">
            <v>MVAR METER ALONG WITH TRANSDUCER</v>
          </cell>
          <cell r="C130" t="str">
            <v>SET</v>
          </cell>
          <cell r="D130">
            <v>1</v>
          </cell>
        </row>
        <row r="131">
          <cell r="A131">
            <v>19.3</v>
          </cell>
          <cell r="B131" t="str">
            <v>SUB TOTAL OF Sl. No. 19</v>
          </cell>
        </row>
        <row r="132">
          <cell r="B132" t="str">
            <v>TOTAL OF SCHEDULE-3</v>
          </cell>
        </row>
        <row r="133">
          <cell r="B133" t="str">
            <v>Note:</v>
          </cell>
        </row>
        <row r="134">
          <cell r="A134">
            <v>1</v>
          </cell>
          <cell r="B134" t="str">
            <v>Before filling up rate/amount etc. in the schedules bidders are requested to read carefully the instruction given in Vol-I of Bidding Document.</v>
          </cell>
        </row>
        <row r="135">
          <cell r="A135">
            <v>2</v>
          </cell>
          <cell r="B135" t="str">
            <v>Bidders are required to fill up amount in all column except shaded portion.</v>
          </cell>
        </row>
        <row r="136">
          <cell r="A136">
            <v>3</v>
          </cell>
          <cell r="B136" t="str">
            <v xml:space="preserve">Bidders are requested to not leave any column blank. If any column is left blank it shall be considered that amount against those items are included in any other item and the total amount for that item shall be calculated as free of cost (Zero value). </v>
          </cell>
        </row>
        <row r="137">
          <cell r="A137">
            <v>4</v>
          </cell>
          <cell r="B137" t="str">
            <v>Kindly enclose soft copy of the duly filled schedule in a CD with the priced copy of Bid.</v>
          </cell>
        </row>
        <row r="138">
          <cell r="A138">
            <v>5</v>
          </cell>
          <cell r="B138" t="str">
            <v>In mode of transaction column please indicate Direct/Bought-Out. For Taxes &amp; Duties on Direct/Bought-out items ref clause 6.0 of SCC (Vol-IA)</v>
          </cell>
        </row>
        <row r="139">
          <cell r="A139">
            <v>6</v>
          </cell>
          <cell r="B139" t="str">
            <v>Bidder should quoted F&amp;I including service tax, no service tax shall be paid/reimbursed on this account.</v>
          </cell>
        </row>
        <row r="142">
          <cell r="A142" t="str">
            <v>Date :</v>
          </cell>
          <cell r="B142" t="str">
            <v>06-07-2011</v>
          </cell>
        </row>
        <row r="143">
          <cell r="A143" t="str">
            <v>Place:</v>
          </cell>
          <cell r="B143" t="str">
            <v>Mumbai</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Detail In Door Stad"/>
      <sheetName val="FR3q2001SR-3"/>
      <sheetName val="final abstract"/>
      <sheetName val="SPT vs PHI"/>
      <sheetName val="FT-05-02IsoBOM"/>
      <sheetName val="N Format-5"/>
      <sheetName val="QOSWS "/>
      <sheetName val="DSLP"/>
      <sheetName val="Timesheet"/>
      <sheetName val="Repor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nopsis"/>
      <sheetName val="strategy sheet"/>
      <sheetName val="Packagewise project Details"/>
      <sheetName val="Summary"/>
      <sheetName val="PQ"/>
      <sheetName val="Risk Assessment"/>
      <sheetName val="Available"/>
      <sheetName val="Sheet2"/>
    </sheetNames>
    <sheetDataSet>
      <sheetData sheetId="0"/>
      <sheetData sheetId="1"/>
      <sheetData sheetId="2"/>
      <sheetData sheetId="3"/>
      <sheetData sheetId="4"/>
      <sheetData sheetId="5"/>
      <sheetData sheetId="6">
        <row r="4">
          <cell r="H4">
            <v>45.619</v>
          </cell>
        </row>
      </sheetData>
      <sheetData sheetId="7">
        <row r="14">
          <cell r="D14" t="str">
            <v>YES</v>
          </cell>
          <cell r="E14" t="str">
            <v>NO</v>
          </cell>
        </row>
        <row r="17">
          <cell r="D17" t="str">
            <v>DD</v>
          </cell>
          <cell r="E17" t="str">
            <v>BG</v>
          </cell>
          <cell r="F17" t="str">
            <v>CASH</v>
          </cell>
          <cell r="G17" t="str">
            <v>RTGS/NEFT</v>
          </cell>
          <cell r="H17" t="str">
            <v>CREDIT CARD</v>
          </cell>
        </row>
        <row r="18">
          <cell r="D18" t="str">
            <v>DD</v>
          </cell>
          <cell r="E18" t="str">
            <v>BG</v>
          </cell>
          <cell r="F18" t="str">
            <v>CASH</v>
          </cell>
          <cell r="G18" t="str">
            <v>RTGS/NEFT</v>
          </cell>
        </row>
        <row r="19">
          <cell r="D19" t="str">
            <v>DD</v>
          </cell>
          <cell r="E19" t="str">
            <v>BG</v>
          </cell>
          <cell r="F19" t="str">
            <v>CASH</v>
          </cell>
        </row>
        <row r="24">
          <cell r="D24" t="str">
            <v>YES</v>
          </cell>
          <cell r="E24" t="str">
            <v>NO</v>
          </cell>
        </row>
        <row r="39">
          <cell r="D39" t="str">
            <v>QUALIFYING ON OWN</v>
          </cell>
          <cell r="E39" t="str">
            <v>MAY QUALIFY WITH CHANGE IN PQ</v>
          </cell>
          <cell r="F39" t="str">
            <v>NOT QUALIFYING-JV REQUIRED</v>
          </cell>
          <cell r="G39" t="str">
            <v>NOT QUALIFYING</v>
          </cell>
        </row>
        <row r="43">
          <cell r="D43" t="str">
            <v>REC</v>
          </cell>
          <cell r="E43" t="str">
            <v>PFC</v>
          </cell>
          <cell r="F43" t="str">
            <v>BRGF</v>
          </cell>
          <cell r="G43" t="str">
            <v>ADB</v>
          </cell>
          <cell r="H43" t="str">
            <v>OWN FUND</v>
          </cell>
          <cell r="I43" t="str">
            <v>OTHERS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C  (2)"/>
      <sheetName val="Sheet2 (2)"/>
      <sheetName val="33 KV LOSS (4)"/>
      <sheetName val="format A_CIRCLE"/>
      <sheetName val="format A_DIVISIONS"/>
      <sheetName val="format A_DHQ"/>
      <sheetName val="Sheet5"/>
      <sheetName val="Sheet2"/>
      <sheetName val="Format-A (B)"/>
      <sheetName val="Format-A (S)"/>
      <sheetName val="Format-A"/>
      <sheetName val="Format-A (HQ)"/>
      <sheetName val="Annex-A"/>
      <sheetName val="Annex-B"/>
      <sheetName val="Annex-C "/>
      <sheetName val="Annex-D"/>
      <sheetName val="Sheet1"/>
      <sheetName val="Sheet3"/>
      <sheetName val="Annex-C__(2)"/>
      <sheetName val="Sheet2_(2)"/>
      <sheetName val="33_KV_LOSS_(4)"/>
      <sheetName val="format_A_CIRCLE"/>
      <sheetName val="format_A_DIVISIONS"/>
      <sheetName val="format_A_DHQ"/>
      <sheetName val="Format-A_(B)"/>
      <sheetName val="Format-A_(S)"/>
      <sheetName val="Format-A_(HQ)"/>
      <sheetName val="Annex-C_"/>
      <sheetName val="Annex-C__(2)1"/>
      <sheetName val="Sheet2_(2)1"/>
      <sheetName val="33_KV_LOSS_(4)1"/>
      <sheetName val="format_A_CIRCLE1"/>
      <sheetName val="format_A_DIVISIONS1"/>
      <sheetName val="format_A_DHQ1"/>
      <sheetName val="Format-A_(B)1"/>
      <sheetName val="Format-A_(S)1"/>
      <sheetName val="Format-A_(HQ)1"/>
      <sheetName val="Annex-C_1"/>
      <sheetName val="Annex-C__(2)2"/>
      <sheetName val="Sheet2_(2)2"/>
      <sheetName val="33_KV_LOSS_(4)2"/>
      <sheetName val="format_A_CIRCLE2"/>
      <sheetName val="format_A_DIVISIONS2"/>
      <sheetName val="format_A_DHQ2"/>
      <sheetName val="Format-A_(B)2"/>
      <sheetName val="Format-A_(S)2"/>
      <sheetName val="Format-A_(HQ)2"/>
      <sheetName val="Annex-C_2"/>
      <sheetName val="Annex-C__(2)3"/>
      <sheetName val="Sheet2_(2)3"/>
      <sheetName val="33_KV_LOSS_(4)3"/>
      <sheetName val="format_A_CIRCLE3"/>
      <sheetName val="format_A_DIVISIONS3"/>
      <sheetName val="format_A_DHQ3"/>
      <sheetName val="Format-A_(B)3"/>
      <sheetName val="Format-A_(S)3"/>
      <sheetName val="Format-A_(HQ)3"/>
      <sheetName val="Annex-C_3"/>
    </sheetNames>
    <sheetDataSet>
      <sheetData sheetId="0" refreshError="1"/>
      <sheetData sheetId="1" refreshError="1">
        <row r="8">
          <cell r="R8">
            <v>-54907.00000003539</v>
          </cell>
        </row>
      </sheetData>
      <sheetData sheetId="2" refreshError="1"/>
      <sheetData sheetId="3" refreshError="1"/>
      <sheetData sheetId="4" refreshError="1"/>
      <sheetData sheetId="5" refreshError="1"/>
      <sheetData sheetId="6" refreshError="1"/>
      <sheetData sheetId="7" refreshError="1"/>
      <sheetData sheetId="8" refreshError="1">
        <row r="41">
          <cell r="C41">
            <v>0.40404815262260768</v>
          </cell>
        </row>
      </sheetData>
      <sheetData sheetId="9" refreshError="1">
        <row r="41">
          <cell r="C41">
            <v>0.55741895581120759</v>
          </cell>
        </row>
      </sheetData>
      <sheetData sheetId="10" refreshError="1">
        <row r="41">
          <cell r="C41">
            <v>0.49615648996847839</v>
          </cell>
        </row>
      </sheetData>
      <sheetData sheetId="11" refreshError="1">
        <row r="41">
          <cell r="C41">
            <v>0.19817192796962479</v>
          </cell>
        </row>
      </sheetData>
      <sheetData sheetId="12" refreshError="1"/>
      <sheetData sheetId="13" refreshError="1"/>
      <sheetData sheetId="14" refreshError="1"/>
      <sheetData sheetId="15" refreshError="1"/>
      <sheetData sheetId="16" refreshError="1">
        <row r="35">
          <cell r="D35">
            <v>0.56037716999999998</v>
          </cell>
        </row>
        <row r="90">
          <cell r="D90">
            <v>0.62140597294160027</v>
          </cell>
        </row>
        <row r="102">
          <cell r="C102">
            <v>128.51896270848053</v>
          </cell>
        </row>
        <row r="103">
          <cell r="C103">
            <v>189.23430431483635</v>
          </cell>
        </row>
        <row r="104">
          <cell r="D104">
            <v>11.887847776683676</v>
          </cell>
        </row>
      </sheetData>
      <sheetData sheetId="17" refreshError="1"/>
      <sheetData sheetId="18"/>
      <sheetData sheetId="19">
        <row r="8">
          <cell r="R8">
            <v>-54907.00000003539</v>
          </cell>
        </row>
      </sheetData>
      <sheetData sheetId="20"/>
      <sheetData sheetId="21"/>
      <sheetData sheetId="22"/>
      <sheetData sheetId="23"/>
      <sheetData sheetId="24">
        <row r="41">
          <cell r="C41">
            <v>0.40404815262260768</v>
          </cell>
        </row>
      </sheetData>
      <sheetData sheetId="25">
        <row r="41">
          <cell r="C41">
            <v>0.55741895581120759</v>
          </cell>
        </row>
      </sheetData>
      <sheetData sheetId="26">
        <row r="41">
          <cell r="C41">
            <v>0.19817192796962479</v>
          </cell>
        </row>
      </sheetData>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1"/>
      <sheetName val="Summary"/>
      <sheetName val="Schedule1"/>
      <sheetName val="Schedule2"/>
      <sheetName val="Schedule3"/>
      <sheetName val="Schedule4"/>
      <sheetName val="Macros"/>
    </sheetNames>
    <sheetDataSet>
      <sheetData sheetId="0"/>
      <sheetData sheetId="1"/>
      <sheetData sheetId="2">
        <row r="1">
          <cell r="S1" t="str">
            <v>Select</v>
          </cell>
          <cell r="T1" t="str">
            <v>Direct</v>
          </cell>
          <cell r="U1" t="str">
            <v>Bought Out</v>
          </cell>
        </row>
      </sheetData>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_A"/>
      <sheetName val="Form_B"/>
      <sheetName val="C_1a"/>
      <sheetName val="C1b"/>
      <sheetName val="C_2"/>
      <sheetName val="C_3"/>
      <sheetName val="C_4 C_5 C_6"/>
      <sheetName val="CREV"/>
      <sheetName val="C_7"/>
      <sheetName val="C_8"/>
      <sheetName val="C_9"/>
      <sheetName val="D_1a"/>
      <sheetName val="D_1b"/>
      <sheetName val="D_2"/>
      <sheetName val="D_4"/>
      <sheetName val="D_3"/>
      <sheetName val="D_5 "/>
      <sheetName val="DREV"/>
      <sheetName val="E_1"/>
      <sheetName val="E_2Bls"/>
      <sheetName val="E_2Jls"/>
      <sheetName val="E_2Bdk"/>
      <sheetName val="E_2Soro"/>
      <sheetName val="E_3"/>
      <sheetName val="E_3_a"/>
      <sheetName val="E_4"/>
      <sheetName val="E_5"/>
      <sheetName val="E_6"/>
      <sheetName val="E_7"/>
      <sheetName val="E_8"/>
      <sheetName val="E_9"/>
      <sheetName val="E_10"/>
      <sheetName val="E_11"/>
      <sheetName val="DT _1_ph_16 KVA "/>
      <sheetName val="DT _1_ph_25 KVA"/>
      <sheetName val="11 kv Branch 1_ph _weasel_ "/>
      <sheetName val="11 kv 1_ph _spur line_"/>
      <sheetName val="ABC line"/>
      <sheetName val=" 33_11 Substation"/>
      <sheetName val="Form-B"/>
      <sheetName val="Section_A"/>
      <sheetName val="Section_B"/>
      <sheetName val="Form_B _Revised"/>
      <sheetName val="Section_C"/>
      <sheetName val="C_4"/>
      <sheetName val="C_5"/>
      <sheetName val=" C_6"/>
      <sheetName val="Add list C4-Bls"/>
      <sheetName val="Section_D"/>
      <sheetName val="Add list in D_4_"/>
      <sheetName val="Addl. D_3 "/>
      <sheetName val="Addl. D_5 "/>
      <sheetName val="Section_E"/>
      <sheetName val="E10"/>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EDWise"/>
      <sheetName val="Form_E6"/>
    </sheetNames>
    <sheetDataSet>
      <sheetData sheetId="0"/>
      <sheetData sheetId="1"/>
      <sheetData sheetId="2"/>
      <sheetData sheetId="3" refreshError="1"/>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E6"/>
      <sheetName val="E8"/>
      <sheetName val="E11"/>
      <sheetName val="Section_A"/>
      <sheetName val="Form_A"/>
      <sheetName val="Section_B"/>
      <sheetName val="Form_B"/>
      <sheetName val="Section_C"/>
      <sheetName val="Scheme Area Details_Block__ C1a"/>
      <sheetName val="Scheme Area Details_Block__C1b"/>
      <sheetName val="Scheme Area Details_Block__ C3"/>
      <sheetName val="Scheme areadetail _Village__C4"/>
      <sheetName val="Scheme Proposal _Village__ C5"/>
      <sheetName val="Scheme Proposal _Village__C6  "/>
      <sheetName val="un_electrified villC_7"/>
      <sheetName val="Section_D"/>
      <sheetName val="Scheme Proposal _Block__ D1a"/>
      <sheetName val="Scheme Proposal _Block__ D1b"/>
      <sheetName val="Scheme Proposal _Block__ D2"/>
      <sheetName val="Form_D3"/>
      <sheetName val="Scheme Proposal _Village__D5"/>
      <sheetName val="33KVfeeders_E2"/>
      <sheetName val="New33KVSS_E3"/>
      <sheetName val="Ex33KVSS_Exstatus_E4"/>
      <sheetName val="Ex33KVSS_Mod_StatusE5"/>
      <sheetName val="New33KVLinesE6"/>
      <sheetName val="New11KVLinesE7"/>
      <sheetName val="Aug_FeedersE8"/>
      <sheetName val="Ex_LTDist_E9"/>
      <sheetName val="PropLTDistE10_"/>
      <sheetName val="LossStatusE1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 B"/>
      <sheetName val="Section_C"/>
      <sheetName val="Scheme Area Details_Block__ C1a"/>
      <sheetName val="Scheme Area Details_Block__C1b"/>
      <sheetName val="Scheme Area Details_Block__ C2"/>
      <sheetName val="Scheme Area Details_Block__ C3"/>
      <sheetName val="Scheme areadetail _Village__C4"/>
      <sheetName val="Scheme Proposal _Village__ C5"/>
      <sheetName val="Scheme Proposal _Village__C6  "/>
      <sheetName val="un_electrified villC_7"/>
      <sheetName val="de_electrified villC_8"/>
      <sheetName val="declaration of De_elect_ C_9"/>
      <sheetName val="Section_D"/>
      <sheetName val="Scheme Proposal _Block__ D1a"/>
      <sheetName val="Scheme Proposal _Block__ D1b"/>
      <sheetName val="Scheme Proposal _Block__ D2"/>
      <sheetName val="Scheme Pro_ _Village__D3"/>
      <sheetName val="Scheme Proposal _Village__D4"/>
      <sheetName val="Scheme Proposal _Village__D5"/>
      <sheetName val="Section_E"/>
      <sheetName val="EHV_SS_E1"/>
      <sheetName val="33KVfeeders_E2"/>
      <sheetName val="New33KVSS_E3"/>
      <sheetName val="Prop aug of Ex 33KVSS_E3a"/>
      <sheetName val="Ex33KVSS_Exstatus_E4"/>
      <sheetName val="Ex33KVSS_Mod_StatusE5"/>
      <sheetName val="New33KVLinesE6"/>
      <sheetName val="New11KVLinesE7"/>
      <sheetName val="Aug_FeedersE8"/>
      <sheetName val="Ex_LTDist_E9"/>
      <sheetName val="PropLTDistE10_"/>
      <sheetName val="LossStatusE11"/>
      <sheetName val="Cost Estimate G"/>
      <sheetName val="DT _1_ph_16 KVA - CSP"/>
      <sheetName val="11 kv 1-ph (spur line)"/>
      <sheetName val="ABC line"/>
      <sheetName val="11 kv Branch 1-ph (wease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nsurance Working"/>
      <sheetName val="OH SHEET"/>
      <sheetName val="2A for Sub_Station_Supply_"/>
      <sheetName val="2B for Sub_Station_F_I_"/>
      <sheetName val="2C for Sub_Station _Erection_ci"/>
      <sheetName val="2A FOR LINE"/>
      <sheetName val="2B FOR LINE"/>
      <sheetName val="2C FOR LINE"/>
      <sheetName val="Schedule_3_Mandatory_"/>
      <sheetName val="Conductors"/>
      <sheetName val="CRP"/>
      <sheetName val="Circuit Breakers"/>
      <sheetName val="CT-CVT-IVT-NCT"/>
      <sheetName val="Working Sheets"/>
      <sheetName val="Cable Summary 13-05-2011"/>
      <sheetName val="Khajuriakata-Cable"/>
      <sheetName val="Earthing Calculation (new)"/>
      <sheetName val="Civil Calculations (new)"/>
      <sheetName val="Tools &amp; Plant"/>
      <sheetName val="Concrete"/>
      <sheetName val="Local Rates"/>
    </sheetNames>
    <sheetDataSet>
      <sheetData sheetId="0"/>
      <sheetData sheetId="1"/>
      <sheetData sheetId="2"/>
      <sheetData sheetId="3"/>
      <sheetData sheetId="4">
        <row r="1">
          <cell r="A1" t="str">
            <v>ORISSA POWER TRANSMISSION CORPORATION LIMITED</v>
          </cell>
        </row>
      </sheetData>
      <sheetData sheetId="5"/>
      <sheetData sheetId="6"/>
      <sheetData sheetId="7"/>
      <sheetData sheetId="8"/>
      <sheetData sheetId="9">
        <row r="5">
          <cell r="B5" t="str">
            <v>SCHEDULE – 3</v>
          </cell>
          <cell r="E5" t="str">
            <v>TO BE QUOTED IN INR</v>
          </cell>
          <cell r="P5" t="str">
            <v>Material Cost</v>
          </cell>
          <cell r="R5" t="str">
            <v>LR</v>
          </cell>
          <cell r="S5" t="str">
            <v>Supply</v>
          </cell>
          <cell r="U5" t="str">
            <v>Freight</v>
          </cell>
          <cell r="W5" t="str">
            <v>Supply W/o Freight</v>
          </cell>
        </row>
        <row r="6">
          <cell r="A6" t="str">
            <v>Sl. No.</v>
          </cell>
          <cell r="B6" t="str">
            <v>SUPPLY OF MANDATORY SPARES FOR THE FOLLOWING EQUIPMENTS.
(As per Technical Specification)</v>
          </cell>
          <cell r="C6" t="str">
            <v>Unit</v>
          </cell>
          <cell r="D6" t="str">
            <v>Quantity for 220/132/33kV Substation at ATRI [10 Nos (6Fdr+2AT+1BT+1B/C) 220 KV Bays,11Nos(6Fdr+2AT+2T+1B/C)132 KV Bays &amp; 07 Nos(4Fdr+2T+1B/C)]</v>
          </cell>
          <cell r="E6" t="str">
            <v>Unit Ex-works (Rs.)</v>
          </cell>
          <cell r="F6" t="str">
            <v>Total Ex-works (Rs.)</v>
          </cell>
          <cell r="G6" t="str">
            <v>Mode of Transaction/
(Bought out/Direct)</v>
          </cell>
          <cell r="H6" t="str">
            <v>Excise Duty (Rs.)</v>
          </cell>
          <cell r="I6" t="str">
            <v>Sales Tax/VAT (Rs.)</v>
          </cell>
          <cell r="J6" t="str">
            <v>Other levies
 (if any)</v>
          </cell>
          <cell r="K6" t="str">
            <v>Unit (F&amp;I)</v>
          </cell>
          <cell r="L6" t="str">
            <v>Total (F&amp;I)</v>
          </cell>
          <cell r="N6" t="str">
            <v>UR</v>
          </cell>
          <cell r="O6" t="str">
            <v>Factor</v>
          </cell>
          <cell r="P6" t="str">
            <v>UR</v>
          </cell>
          <cell r="Q6" t="str">
            <v>Total</v>
          </cell>
          <cell r="R6">
            <v>1.1100000000000001</v>
          </cell>
          <cell r="S6" t="str">
            <v>UR</v>
          </cell>
          <cell r="T6" t="str">
            <v>Total</v>
          </cell>
          <cell r="U6" t="str">
            <v>UR</v>
          </cell>
          <cell r="V6" t="str">
            <v>Total</v>
          </cell>
          <cell r="W6" t="str">
            <v>UR</v>
          </cell>
          <cell r="X6" t="str">
            <v>Total</v>
          </cell>
        </row>
        <row r="7">
          <cell r="A7">
            <v>1</v>
          </cell>
          <cell r="B7">
            <v>2</v>
          </cell>
          <cell r="C7">
            <v>3</v>
          </cell>
          <cell r="D7">
            <v>4</v>
          </cell>
          <cell r="E7">
            <v>5</v>
          </cell>
          <cell r="F7">
            <v>6</v>
          </cell>
          <cell r="G7">
            <v>7</v>
          </cell>
          <cell r="H7">
            <v>8</v>
          </cell>
          <cell r="I7">
            <v>9</v>
          </cell>
          <cell r="J7">
            <v>10</v>
          </cell>
          <cell r="K7">
            <v>11</v>
          </cell>
          <cell r="L7">
            <v>12</v>
          </cell>
        </row>
        <row r="8">
          <cell r="A8">
            <v>1</v>
          </cell>
          <cell r="B8" t="str">
            <v>245 KV,1200-600-300/1-1-1-1-1 A,40KA,5CORE SINGLE 
PHASE CURRENT TRANSFORMER INCLUDING TERMINAL CONNECTOR</v>
          </cell>
          <cell r="C8" t="str">
            <v>NOS</v>
          </cell>
          <cell r="D8">
            <v>1</v>
          </cell>
        </row>
        <row r="9">
          <cell r="A9">
            <v>2</v>
          </cell>
          <cell r="B9" t="str">
            <v>245 KV,2000A,40KA,ISOLATORS</v>
          </cell>
        </row>
        <row r="10">
          <cell r="A10">
            <v>2.1</v>
          </cell>
          <cell r="B10" t="str">
            <v>MALE &amp; FEMALE CONTACTS</v>
          </cell>
          <cell r="C10" t="str">
            <v>SET</v>
          </cell>
          <cell r="D10">
            <v>1</v>
          </cell>
        </row>
        <row r="11">
          <cell r="A11">
            <v>2.2000000000000002</v>
          </cell>
          <cell r="B11" t="str">
            <v>POWER CONTACTOR,RELAYS,MCBs,
SWITCHES,FUSES,PUSH BUTTONS,RESISTORS ETC AS PER APPROVED SCHEMATIC.</v>
          </cell>
          <cell r="C11" t="str">
            <v>SET</v>
          </cell>
          <cell r="D11">
            <v>1</v>
          </cell>
        </row>
        <row r="12">
          <cell r="A12" t="str">
            <v>2.3</v>
          </cell>
          <cell r="B12" t="str">
            <v>LIMIT SWITCH</v>
          </cell>
          <cell r="C12" t="str">
            <v>SET</v>
          </cell>
          <cell r="D12">
            <v>2</v>
          </cell>
        </row>
        <row r="13">
          <cell r="A13" t="str">
            <v>2.4</v>
          </cell>
          <cell r="B13" t="str">
            <v>MOTOR WITH GEAR ASSEMBLY &amp; BEVEL 
GEAR ASSEMBLY COMPLETE.</v>
          </cell>
          <cell r="C13" t="str">
            <v>SET</v>
          </cell>
          <cell r="D13">
            <v>1</v>
          </cell>
        </row>
        <row r="14">
          <cell r="A14" t="str">
            <v>2.5</v>
          </cell>
          <cell r="B14" t="str">
            <v>AUXILIARY SWITCH CONTACTS ASSEMBLY</v>
          </cell>
          <cell r="C14" t="str">
            <v>SET</v>
          </cell>
          <cell r="D14">
            <v>1</v>
          </cell>
        </row>
        <row r="15">
          <cell r="A15" t="str">
            <v>2.6</v>
          </cell>
          <cell r="B15" t="str">
            <v>EARTHING ROD &amp; BLADE CONTACT SIDE</v>
          </cell>
          <cell r="C15" t="str">
            <v>SET</v>
          </cell>
          <cell r="D15">
            <v>1</v>
          </cell>
        </row>
        <row r="16">
          <cell r="A16" t="str">
            <v>2.7</v>
          </cell>
          <cell r="B16" t="str">
            <v>HINGE PINS,TERMINAL CONNECTOR,TERMINAL PAD</v>
          </cell>
          <cell r="C16" t="str">
            <v>SET</v>
          </cell>
          <cell r="D16">
            <v>1</v>
          </cell>
        </row>
        <row r="17">
          <cell r="B17" t="str">
            <v>SUB TOTAL OF 2</v>
          </cell>
        </row>
        <row r="18">
          <cell r="A18">
            <v>3</v>
          </cell>
          <cell r="B18" t="str">
            <v>245 KV,4400pF,3CORE,SINGLE PHASE
CAPACITOR VOLTAGE TRANSFORMER INCLUDING TERMINAL CONNECTOR</v>
          </cell>
          <cell r="C18" t="str">
            <v>NOS</v>
          </cell>
          <cell r="D18">
            <v>1</v>
          </cell>
        </row>
        <row r="19">
          <cell r="A19">
            <v>4</v>
          </cell>
          <cell r="B19" t="str">
            <v>245KV,3150A,40KA,SF6,CIRCUIT BREAKER</v>
          </cell>
        </row>
        <row r="20">
          <cell r="A20" t="str">
            <v>4.1</v>
          </cell>
          <cell r="B20" t="str">
            <v>COMPLETE ONE POLE ASSEMBLY OF BREAKER</v>
          </cell>
          <cell r="C20" t="str">
            <v>NOS</v>
          </cell>
          <cell r="D20">
            <v>1</v>
          </cell>
        </row>
        <row r="21">
          <cell r="A21" t="str">
            <v>4.2</v>
          </cell>
          <cell r="B21" t="str">
            <v>SPRING CHARGING/PNEUMATIC MOTOR</v>
          </cell>
          <cell r="C21" t="str">
            <v>NOS</v>
          </cell>
          <cell r="D21">
            <v>1</v>
          </cell>
        </row>
        <row r="22">
          <cell r="A22" t="str">
            <v>4.3</v>
          </cell>
          <cell r="B22" t="str">
            <v>BREKER AUXILIARY CONTACTS</v>
          </cell>
          <cell r="C22" t="str">
            <v>SET</v>
          </cell>
          <cell r="D22">
            <v>1</v>
          </cell>
        </row>
        <row r="23">
          <cell r="A23" t="str">
            <v>4.4</v>
          </cell>
          <cell r="B23" t="str">
            <v>POWER CONTACTORS,RELAYS,MCBs,
SWITCHES,FUSES,PUSH BUTTONS,RESISTORS,PRESSURE SWITCHES,LIMIT SWITCHES, ETC AS PER APPROVED SCHEMATIC.</v>
          </cell>
          <cell r="C23" t="str">
            <v>SET</v>
          </cell>
          <cell r="D23">
            <v>1</v>
          </cell>
        </row>
        <row r="24">
          <cell r="A24" t="str">
            <v>4.5</v>
          </cell>
          <cell r="B24" t="str">
            <v>DENSITY MONITORING SYSTEM</v>
          </cell>
          <cell r="C24" t="str">
            <v>SET</v>
          </cell>
          <cell r="D24">
            <v>1</v>
          </cell>
        </row>
        <row r="25">
          <cell r="A25" t="str">
            <v>4.6</v>
          </cell>
          <cell r="B25" t="str">
            <v>CLOSING COIL</v>
          </cell>
          <cell r="C25" t="str">
            <v>NOS</v>
          </cell>
          <cell r="D25">
            <v>4</v>
          </cell>
        </row>
        <row r="26">
          <cell r="A26" t="str">
            <v>4.7</v>
          </cell>
          <cell r="B26" t="str">
            <v>TRIPPING COIL</v>
          </cell>
          <cell r="C26" t="str">
            <v>NOS</v>
          </cell>
          <cell r="D26">
            <v>4</v>
          </cell>
        </row>
        <row r="27">
          <cell r="A27" t="str">
            <v>4.8</v>
          </cell>
          <cell r="B27" t="str">
            <v>SF6 GAS FILLING DEVICE</v>
          </cell>
          <cell r="C27" t="str">
            <v>NOS</v>
          </cell>
          <cell r="D27">
            <v>1</v>
          </cell>
        </row>
        <row r="28">
          <cell r="A28" t="str">
            <v>4.9</v>
          </cell>
          <cell r="B28" t="str">
            <v>SET OF GASKETS ,"O" RINGS,SEALS PER CIRCUIT BREAKER</v>
          </cell>
          <cell r="C28" t="str">
            <v>SET</v>
          </cell>
          <cell r="D28">
            <v>1</v>
          </cell>
        </row>
        <row r="29">
          <cell r="B29" t="str">
            <v>SUB TOTAL OF 4</v>
          </cell>
        </row>
        <row r="30">
          <cell r="A30">
            <v>5</v>
          </cell>
          <cell r="B30" t="str">
            <v>216 KV,METAL OXIDE, 10 KA, CLASS III SURGE 
ARRESTOR COMPLETE WITH INSULATING BASE &amp; SURGE MONITOR</v>
          </cell>
          <cell r="C30" t="str">
            <v>NOS</v>
          </cell>
          <cell r="D30">
            <v>2</v>
          </cell>
        </row>
        <row r="31">
          <cell r="A31">
            <v>6</v>
          </cell>
          <cell r="B31" t="str">
            <v>245 KV, 2 CORE,SINGLE PHASE,IVT 
INCLUDING TERMINAL CONNECTOR</v>
          </cell>
          <cell r="C31" t="str">
            <v>NOS</v>
          </cell>
          <cell r="D31">
            <v>1</v>
          </cell>
        </row>
        <row r="32">
          <cell r="A32" t="str">
            <v>7</v>
          </cell>
          <cell r="B32" t="str">
            <v>220 KV Bus Post Insulators</v>
          </cell>
          <cell r="C32" t="str">
            <v>NOS</v>
          </cell>
          <cell r="D32">
            <v>2</v>
          </cell>
        </row>
        <row r="33">
          <cell r="A33" t="str">
            <v>8</v>
          </cell>
          <cell r="B33" t="str">
            <v>145 KV,(800-400-200/1-1-1-1),31.5KA,4CORE SINGLE PHASE CURRENT TRANSFORMER INCLUDING TERMINAL CONNECTOR</v>
          </cell>
          <cell r="C33" t="str">
            <v>NOS</v>
          </cell>
          <cell r="D33">
            <v>1</v>
          </cell>
        </row>
        <row r="34">
          <cell r="A34" t="str">
            <v>9</v>
          </cell>
          <cell r="B34" t="str">
            <v>145 KV,1250A,40 KA,ISOLATORS</v>
          </cell>
        </row>
        <row r="35">
          <cell r="A35" t="str">
            <v>9.1</v>
          </cell>
          <cell r="B35" t="str">
            <v>MALE &amp; FEMALE CONTACTS</v>
          </cell>
          <cell r="C35" t="str">
            <v>SET</v>
          </cell>
          <cell r="D35">
            <v>1</v>
          </cell>
        </row>
        <row r="36">
          <cell r="A36" t="str">
            <v>9.2</v>
          </cell>
          <cell r="B36" t="str">
            <v>POWER CONTACTOR,RELAYS,MCBs,
SWITCHES,FUSES,PUSH BUTTONS,RESISTORS ETC AS PER APPROVED SCHEMATIC.</v>
          </cell>
          <cell r="C36" t="str">
            <v>SET</v>
          </cell>
          <cell r="D36">
            <v>1</v>
          </cell>
        </row>
        <row r="37">
          <cell r="A37" t="str">
            <v>9.3</v>
          </cell>
          <cell r="B37" t="str">
            <v>LIMIT SWITCH</v>
          </cell>
          <cell r="C37" t="str">
            <v>SET</v>
          </cell>
          <cell r="D37">
            <v>2</v>
          </cell>
        </row>
        <row r="38">
          <cell r="A38" t="str">
            <v>9.4</v>
          </cell>
          <cell r="B38" t="str">
            <v>MOTOR WITH GEAR ASSEMBLY &amp; BEVEL 
GEAR ASSEMBLY COMPLETE.</v>
          </cell>
          <cell r="C38" t="str">
            <v>SET</v>
          </cell>
          <cell r="D38">
            <v>1</v>
          </cell>
        </row>
        <row r="39">
          <cell r="A39" t="str">
            <v>9.5</v>
          </cell>
          <cell r="B39" t="str">
            <v>AUXILIARY SWITCH CONTACTS ASSEMBLY</v>
          </cell>
          <cell r="C39" t="str">
            <v>SET</v>
          </cell>
          <cell r="D39">
            <v>1</v>
          </cell>
        </row>
        <row r="40">
          <cell r="A40" t="str">
            <v>9.6</v>
          </cell>
          <cell r="B40" t="str">
            <v>EARTHING ROD &amp; BLADE CONTACT SIDE</v>
          </cell>
          <cell r="C40" t="str">
            <v>SET</v>
          </cell>
          <cell r="D40">
            <v>1</v>
          </cell>
        </row>
        <row r="41">
          <cell r="A41" t="str">
            <v>9.7</v>
          </cell>
          <cell r="B41" t="str">
            <v>HINGE PINS,TERMINAL CONNECTOR,TERMINAL PAD</v>
          </cell>
          <cell r="C41" t="str">
            <v>SET</v>
          </cell>
          <cell r="D41">
            <v>1</v>
          </cell>
        </row>
        <row r="42">
          <cell r="B42" t="str">
            <v>SUB TOTAL OF 9</v>
          </cell>
        </row>
        <row r="43">
          <cell r="A43" t="str">
            <v>10</v>
          </cell>
          <cell r="B43" t="str">
            <v>145 KV,6600pF,3CORE,SINGLE PHASE
CAPACITOR VOLTAGE TRANSFORMER INCLUDING TERMINAL CONNECTOR</v>
          </cell>
          <cell r="C43" t="str">
            <v>NOS</v>
          </cell>
          <cell r="D43">
            <v>1</v>
          </cell>
        </row>
        <row r="44">
          <cell r="A44" t="str">
            <v>11</v>
          </cell>
          <cell r="B44" t="str">
            <v>120 KV,METAL OXIDE, 10 KA CLASS III SURGE 
ARRESTOR COMPLETING WITH INSULATING BASE &amp; SURGE MONITOR.</v>
          </cell>
          <cell r="C44" t="str">
            <v>NOS</v>
          </cell>
          <cell r="D44">
            <v>2</v>
          </cell>
        </row>
        <row r="45">
          <cell r="A45" t="str">
            <v>12</v>
          </cell>
          <cell r="B45" t="str">
            <v>145 KV ,2 CORE,SINGLE PHASE,IVT INCLUDING TERMINAL CONNECTOR</v>
          </cell>
          <cell r="C45" t="str">
            <v>NOS</v>
          </cell>
          <cell r="D45">
            <v>1</v>
          </cell>
        </row>
        <row r="46">
          <cell r="A46" t="str">
            <v>13</v>
          </cell>
          <cell r="B46" t="str">
            <v>132 KV Bus Post Insulators</v>
          </cell>
          <cell r="C46" t="str">
            <v>NOS</v>
          </cell>
          <cell r="D46">
            <v>3</v>
          </cell>
        </row>
        <row r="47">
          <cell r="A47" t="str">
            <v>14</v>
          </cell>
          <cell r="B47" t="str">
            <v>145KV,3150A,40 KA,SF6,CIRCUIT BREAKER</v>
          </cell>
        </row>
        <row r="48">
          <cell r="A48" t="str">
            <v>14.1</v>
          </cell>
          <cell r="B48" t="str">
            <v>COMPLETE ONE POLE ASSEMBLY OF BREAKER</v>
          </cell>
          <cell r="C48" t="str">
            <v>NOS</v>
          </cell>
          <cell r="D48">
            <v>1</v>
          </cell>
        </row>
        <row r="49">
          <cell r="A49" t="str">
            <v>14.2</v>
          </cell>
          <cell r="B49" t="str">
            <v>SPRING CHARGING MOTOR</v>
          </cell>
          <cell r="C49" t="str">
            <v>NOS</v>
          </cell>
          <cell r="D49">
            <v>1</v>
          </cell>
        </row>
        <row r="50">
          <cell r="A50" t="str">
            <v>14.3</v>
          </cell>
          <cell r="B50" t="str">
            <v>BREKER AUXILIARY CONTACTS</v>
          </cell>
          <cell r="C50" t="str">
            <v>SET</v>
          </cell>
          <cell r="D50">
            <v>1</v>
          </cell>
        </row>
        <row r="51">
          <cell r="A51" t="str">
            <v>14.4</v>
          </cell>
          <cell r="B51" t="str">
            <v>POWER CONTACTORS,RELAYS,MCBs,
SWITCHES,FUSES,PUSH BUTTONS,RESISTORS,PRESSURE SWITCHES,LIMIT SWITCHES, ETC AS PER APPROVED SCHEMATIC.</v>
          </cell>
          <cell r="C51" t="str">
            <v>SET</v>
          </cell>
          <cell r="D51">
            <v>1</v>
          </cell>
        </row>
        <row r="52">
          <cell r="A52" t="str">
            <v>14.5</v>
          </cell>
          <cell r="B52" t="str">
            <v>DENSITY MONITORING SYSTEM</v>
          </cell>
          <cell r="C52" t="str">
            <v>SET</v>
          </cell>
          <cell r="D52">
            <v>1</v>
          </cell>
        </row>
        <row r="53">
          <cell r="A53" t="str">
            <v>14.6</v>
          </cell>
          <cell r="B53" t="str">
            <v>CLOSING COIL</v>
          </cell>
          <cell r="C53" t="str">
            <v>NOS</v>
          </cell>
          <cell r="D53">
            <v>4</v>
          </cell>
        </row>
        <row r="54">
          <cell r="A54" t="str">
            <v>14.7</v>
          </cell>
          <cell r="B54" t="str">
            <v>TRIPPING COIL</v>
          </cell>
          <cell r="C54" t="str">
            <v>NOS</v>
          </cell>
          <cell r="D54">
            <v>4</v>
          </cell>
        </row>
        <row r="55">
          <cell r="A55" t="str">
            <v>14.8</v>
          </cell>
          <cell r="B55" t="str">
            <v>SF6 GAS FILLING DEVICE</v>
          </cell>
          <cell r="C55" t="str">
            <v>NOS</v>
          </cell>
          <cell r="D55">
            <v>1</v>
          </cell>
        </row>
        <row r="56">
          <cell r="A56" t="str">
            <v>14.9</v>
          </cell>
          <cell r="B56" t="str">
            <v>SET OF GASKETS ,"O" RINGS,SEALS PER CIRCUIT BREAKER</v>
          </cell>
          <cell r="C56" t="str">
            <v>SET</v>
          </cell>
          <cell r="D56">
            <v>1</v>
          </cell>
        </row>
        <row r="57">
          <cell r="B57" t="str">
            <v>SUB TOTAL OF 14</v>
          </cell>
        </row>
        <row r="58">
          <cell r="A58" t="str">
            <v>15</v>
          </cell>
          <cell r="B58" t="str">
            <v>36 KV,(800-400-200/1-1-1-1 A,(3- PS CL &amp; 1- 0.2),25KA,3CORE SINGLE 
PHASE CURRENT TRANSFORMER</v>
          </cell>
          <cell r="C58" t="str">
            <v>NOS</v>
          </cell>
          <cell r="D58">
            <v>2</v>
          </cell>
        </row>
        <row r="59">
          <cell r="A59" t="str">
            <v>15.1</v>
          </cell>
          <cell r="B59" t="str">
            <v>36 KV,(800-400-200/1-1-1 A,(2- PS CL &amp; 1- 0.2),25KA,3CORE SINGLE 
PHASE CURRENT TRANSFORMER</v>
          </cell>
          <cell r="C59" t="str">
            <v>NOS</v>
          </cell>
          <cell r="D59">
            <v>2</v>
          </cell>
        </row>
        <row r="60">
          <cell r="A60">
            <v>16</v>
          </cell>
          <cell r="B60" t="str">
            <v>36 KV,800A,25KA,ISOLATORS</v>
          </cell>
        </row>
        <row r="61">
          <cell r="A61">
            <v>16.100000000000001</v>
          </cell>
          <cell r="B61" t="str">
            <v>MALE &amp; FEMALE CONTACTS</v>
          </cell>
          <cell r="C61" t="str">
            <v>SET</v>
          </cell>
          <cell r="D61">
            <v>1</v>
          </cell>
        </row>
        <row r="62">
          <cell r="A62">
            <v>16.2</v>
          </cell>
          <cell r="B62" t="str">
            <v>POWER CONTACTOR,RELAYS,MCBs,
SWITCHES,FUSES,PUSH BUTTONS,RESISTORS ETC AS PER APPROVED SCHEMATIC.</v>
          </cell>
          <cell r="C62" t="str">
            <v>SET</v>
          </cell>
          <cell r="D62">
            <v>1</v>
          </cell>
        </row>
        <row r="63">
          <cell r="A63">
            <v>16.3</v>
          </cell>
          <cell r="B63" t="str">
            <v>LIMIT SWITCH</v>
          </cell>
          <cell r="C63" t="str">
            <v>SET</v>
          </cell>
          <cell r="D63">
            <v>2</v>
          </cell>
        </row>
        <row r="64">
          <cell r="A64">
            <v>16.399999999999999</v>
          </cell>
          <cell r="B64" t="str">
            <v>MOTOR WITH GEAR ASSEMBLY &amp; BEVEL 
GEAR ASSEMBLY COMPLETE.</v>
          </cell>
          <cell r="C64" t="str">
            <v>SET</v>
          </cell>
          <cell r="D64">
            <v>1</v>
          </cell>
        </row>
        <row r="65">
          <cell r="A65">
            <v>16.5</v>
          </cell>
          <cell r="B65" t="str">
            <v>AUXILIARY SWITCH CONTACTS ASSEMBLY</v>
          </cell>
          <cell r="C65" t="str">
            <v>SET</v>
          </cell>
          <cell r="D65">
            <v>1</v>
          </cell>
        </row>
        <row r="66">
          <cell r="A66">
            <v>16.600000000000001</v>
          </cell>
          <cell r="B66" t="str">
            <v>EARTHING ROD &amp; BLADE CONTACT SIDE</v>
          </cell>
          <cell r="C66" t="str">
            <v>SET</v>
          </cell>
          <cell r="D66">
            <v>1</v>
          </cell>
        </row>
        <row r="67">
          <cell r="A67">
            <v>16.7</v>
          </cell>
          <cell r="B67" t="str">
            <v>HINGE PINS,TERMINAL CONNECTOR,TERMINAL PAD</v>
          </cell>
          <cell r="C67" t="str">
            <v>SET</v>
          </cell>
          <cell r="D67">
            <v>1</v>
          </cell>
        </row>
        <row r="68">
          <cell r="B68" t="str">
            <v>SUB TOTAL OF 16</v>
          </cell>
        </row>
        <row r="69">
          <cell r="A69">
            <v>17</v>
          </cell>
          <cell r="B69" t="str">
            <v>30 KV,METAL OXIDE, 10 KA CLASS II SURGE 
ARRESTOR COMPLETE WITH INSULATOR BASE AND SURGE MONITOR</v>
          </cell>
          <cell r="C69" t="str">
            <v>NOS</v>
          </cell>
          <cell r="D69">
            <v>3</v>
          </cell>
        </row>
        <row r="70">
          <cell r="A70">
            <v>18</v>
          </cell>
          <cell r="B70" t="str">
            <v>36 KV ,2 CORE,SINGLE PHASE,IVT 
INCLUDING TERMINAL CONNECTOR</v>
          </cell>
          <cell r="C70" t="str">
            <v>NOS</v>
          </cell>
          <cell r="D70">
            <v>1</v>
          </cell>
        </row>
        <row r="71">
          <cell r="A71">
            <v>19</v>
          </cell>
          <cell r="B71" t="str">
            <v>36KV,1250A,25KA,VACUUM CIRCUIT BREAKER</v>
          </cell>
        </row>
        <row r="72">
          <cell r="A72">
            <v>19.100000000000001</v>
          </cell>
          <cell r="B72" t="str">
            <v>ONE COMPLETE POLE ASSEMBLY OF 
CIRCUIT BREAKER</v>
          </cell>
          <cell r="C72" t="str">
            <v>SET</v>
          </cell>
          <cell r="D72">
            <v>1</v>
          </cell>
        </row>
        <row r="73">
          <cell r="A73">
            <v>19.2</v>
          </cell>
          <cell r="B73" t="str">
            <v>TRIPPING CIOLS</v>
          </cell>
          <cell r="C73" t="str">
            <v>NOS</v>
          </cell>
          <cell r="D73">
            <v>4</v>
          </cell>
        </row>
        <row r="74">
          <cell r="A74">
            <v>19.3</v>
          </cell>
          <cell r="B74" t="str">
            <v>CLOSING COIL</v>
          </cell>
          <cell r="C74" t="str">
            <v>NOS</v>
          </cell>
          <cell r="D74">
            <v>4</v>
          </cell>
        </row>
        <row r="75">
          <cell r="A75">
            <v>19.399999999999999</v>
          </cell>
          <cell r="B75" t="str">
            <v>SPRING CHARGING MOTOR</v>
          </cell>
          <cell r="C75" t="str">
            <v>NOS</v>
          </cell>
          <cell r="D75">
            <v>1</v>
          </cell>
        </row>
        <row r="76">
          <cell r="A76">
            <v>19.5</v>
          </cell>
          <cell r="B76" t="str">
            <v>AUXILIARY SWITCH CONTACTS ASSEMBLY</v>
          </cell>
          <cell r="C76" t="str">
            <v>SET</v>
          </cell>
          <cell r="D76">
            <v>1</v>
          </cell>
        </row>
        <row r="77">
          <cell r="A77">
            <v>19.600000000000001</v>
          </cell>
          <cell r="B77" t="str">
            <v>SET OF GASKET,"O" RINGS,SEALING PER
CIRCUIT BREAKER</v>
          </cell>
          <cell r="C77" t="str">
            <v>SET</v>
          </cell>
          <cell r="D77">
            <v>1</v>
          </cell>
        </row>
        <row r="78">
          <cell r="A78">
            <v>19.7</v>
          </cell>
          <cell r="B78" t="str">
            <v>POWER CONTACTORS,RELAYS,MCBs,
SWITCHES,FUSES,PUSH BUTTONS,RESISTORS,PRESSURE SWITCHES,LIMIT SWITCHES, ETC AS PER APPROVED SCHEMATIC.</v>
          </cell>
          <cell r="C78" t="str">
            <v>SET</v>
          </cell>
          <cell r="D78">
            <v>1</v>
          </cell>
        </row>
        <row r="79">
          <cell r="B79" t="str">
            <v>SUB TOTAL OF 19</v>
          </cell>
        </row>
        <row r="80">
          <cell r="A80">
            <v>20</v>
          </cell>
          <cell r="B80" t="str">
            <v>33 KV Bus Post Insulators</v>
          </cell>
          <cell r="C80" t="str">
            <v>NOS</v>
          </cell>
          <cell r="D80">
            <v>3</v>
          </cell>
        </row>
        <row r="81">
          <cell r="A81">
            <v>21</v>
          </cell>
          <cell r="B81" t="str">
            <v>BUS BAR &amp; CIRCUIT MATERIALS</v>
          </cell>
        </row>
        <row r="82">
          <cell r="A82">
            <v>21.1</v>
          </cell>
          <cell r="B82" t="str">
            <v>160 KN ANTIFOG  INSULATOR STRINGS for double tension twin Moose conductor ( TENSION)-220 KV</v>
          </cell>
          <cell r="C82" t="str">
            <v>SET</v>
          </cell>
          <cell r="D82">
            <v>2</v>
          </cell>
        </row>
        <row r="83">
          <cell r="A83">
            <v>21.2</v>
          </cell>
          <cell r="B83" t="str">
            <v>160 KN ANTIFOG INSULATOR STRINGS for single tension single Moose conductor (TENSION)-220 KV</v>
          </cell>
          <cell r="C83" t="str">
            <v>SET</v>
          </cell>
          <cell r="D83">
            <v>2</v>
          </cell>
        </row>
        <row r="84">
          <cell r="A84">
            <v>21.3</v>
          </cell>
          <cell r="B84" t="str">
            <v>120 KN INSULATOR STRINGS for Double tension Twin Moose conductor (TENSION)-132 KV</v>
          </cell>
          <cell r="C84" t="str">
            <v>SET</v>
          </cell>
          <cell r="D84">
            <v>2</v>
          </cell>
        </row>
        <row r="85">
          <cell r="A85">
            <v>21.4</v>
          </cell>
          <cell r="B85" t="str">
            <v>120 KN INSULATOR STRINGS for single tension Single Moose conductor (TENSION)-132 KV</v>
          </cell>
          <cell r="C85" t="str">
            <v>SET</v>
          </cell>
          <cell r="D85">
            <v>2</v>
          </cell>
        </row>
        <row r="86">
          <cell r="A86">
            <v>21.5</v>
          </cell>
          <cell r="B86" t="str">
            <v>120 KN INSULATOR STRINGS for Double Tension Twin Moose conductor ( TENSION)-33 KV</v>
          </cell>
          <cell r="C86" t="str">
            <v>SET</v>
          </cell>
          <cell r="D86">
            <v>2</v>
          </cell>
        </row>
        <row r="87">
          <cell r="A87">
            <v>21.6</v>
          </cell>
          <cell r="B87" t="str">
            <v>120 KN INSULATOR STRINGS  for Single tension Single Moose conductor (TENSION)-33 KV</v>
          </cell>
          <cell r="C87" t="str">
            <v>SET</v>
          </cell>
          <cell r="D87">
            <v>2</v>
          </cell>
        </row>
        <row r="88">
          <cell r="A88">
            <v>21.7</v>
          </cell>
          <cell r="B88" t="str">
            <v>90 KN INSULATOR STRINGS  for Single Suspension Double/ Single Moose cond ( SUSPENSION)-220 KV</v>
          </cell>
          <cell r="C88" t="str">
            <v>SET</v>
          </cell>
          <cell r="D88">
            <v>2</v>
          </cell>
        </row>
        <row r="89">
          <cell r="A89">
            <v>21.8</v>
          </cell>
          <cell r="B89" t="str">
            <v>90KN INSULATOR STRINGS  for  Single Suspension Double/ Single Moose cond ( SUSPENSION)-132 KV</v>
          </cell>
          <cell r="C89" t="str">
            <v>SET</v>
          </cell>
          <cell r="D89">
            <v>2</v>
          </cell>
        </row>
        <row r="90">
          <cell r="A90">
            <v>21.9</v>
          </cell>
          <cell r="B90" t="str">
            <v>90 KN INSULATOR STRINGS  for Single Suspension  Double/ Single Moose cond (SUSPENSION)-33 KV</v>
          </cell>
          <cell r="C90" t="str">
            <v>SET</v>
          </cell>
          <cell r="D90">
            <v>2</v>
          </cell>
        </row>
        <row r="91">
          <cell r="B91" t="str">
            <v>SUB TOTAL OF 21</v>
          </cell>
        </row>
        <row r="92">
          <cell r="A92">
            <v>22</v>
          </cell>
          <cell r="B92" t="str">
            <v>ACSR MOOSE CONDUCTOR</v>
          </cell>
          <cell r="C92" t="str">
            <v>MTRS</v>
          </cell>
          <cell r="D92">
            <v>500</v>
          </cell>
        </row>
        <row r="93">
          <cell r="A93">
            <v>23</v>
          </cell>
          <cell r="B93" t="str">
            <v>HARDWARES &amp; FITTINGS/SPACERS/CLAMP
 &amp; CONNECTORS</v>
          </cell>
          <cell r="C93" t="str">
            <v>SET (EACH TYPE THREE NOS.)</v>
          </cell>
          <cell r="D93">
            <v>1</v>
          </cell>
        </row>
        <row r="94">
          <cell r="A94">
            <v>24</v>
          </cell>
          <cell r="B94" t="str">
            <v>GENERAL EQUIPMENT &amp; SUBSTATION 
ACCESSORIES</v>
          </cell>
        </row>
        <row r="95">
          <cell r="A95">
            <v>24.1</v>
          </cell>
          <cell r="B95" t="str">
            <v>POWER CABLES,1.1KV,XLPE,ARMOURED,
ALUMINIUM CONDUCTOR(As per Specification)</v>
          </cell>
        </row>
        <row r="96">
          <cell r="A96" t="str">
            <v>24.1.1</v>
          </cell>
          <cell r="B96" t="str">
            <v>3.5 CX300 mm2 (ONE PIECE OF MAXM. LENGTH OF CABLE USED)</v>
          </cell>
          <cell r="C96" t="str">
            <v>PCS.</v>
          </cell>
          <cell r="D96">
            <v>1</v>
          </cell>
        </row>
        <row r="97">
          <cell r="A97" t="str">
            <v>24.1.2</v>
          </cell>
          <cell r="B97" t="str">
            <v>3.5 CX185 mm2 (ONE PIECE OF MAXM. LENGTH OF CABLE USED)</v>
          </cell>
          <cell r="C97" t="str">
            <v>PCS.</v>
          </cell>
          <cell r="D97">
            <v>1</v>
          </cell>
        </row>
        <row r="98">
          <cell r="A98" t="str">
            <v>24.1.3</v>
          </cell>
          <cell r="B98" t="str">
            <v>3.5 CX120 mm2 (ONE PIECE OF MAXM. LENGTH OF CABLE USED)</v>
          </cell>
          <cell r="C98" t="str">
            <v>PCS.</v>
          </cell>
          <cell r="D98">
            <v>1</v>
          </cell>
        </row>
        <row r="99">
          <cell r="A99" t="str">
            <v>24.1.4</v>
          </cell>
          <cell r="B99" t="str">
            <v>3.5 CX70 mm2 (ONE PIECE OF MAXM. LENGTH OF CABLE USED)</v>
          </cell>
          <cell r="C99" t="str">
            <v>PCS.</v>
          </cell>
          <cell r="D99">
            <v>1</v>
          </cell>
        </row>
        <row r="100">
          <cell r="A100" t="str">
            <v>24.1.5</v>
          </cell>
          <cell r="B100" t="str">
            <v>3.5 CX35 mm2 (ONE PIECE OF MAXM. LENGTH OF CABLE USED)</v>
          </cell>
          <cell r="C100" t="str">
            <v>PCS.</v>
          </cell>
          <cell r="D100">
            <v>1</v>
          </cell>
        </row>
        <row r="101">
          <cell r="A101" t="str">
            <v>24.1.6</v>
          </cell>
          <cell r="B101" t="str">
            <v>4 CX 16 mm2</v>
          </cell>
          <cell r="C101" t="str">
            <v>MTRS</v>
          </cell>
          <cell r="D101">
            <v>250</v>
          </cell>
        </row>
        <row r="102">
          <cell r="A102" t="str">
            <v>24.1.7</v>
          </cell>
          <cell r="B102" t="str">
            <v>4 CX 6 mm2</v>
          </cell>
          <cell r="C102" t="str">
            <v>MTRS</v>
          </cell>
          <cell r="D102">
            <v>250</v>
          </cell>
        </row>
        <row r="103">
          <cell r="A103" t="str">
            <v>24.1.8</v>
          </cell>
          <cell r="B103" t="str">
            <v>2CX 6 mm2</v>
          </cell>
          <cell r="C103" t="str">
            <v>MTRS</v>
          </cell>
          <cell r="D103">
            <v>250</v>
          </cell>
        </row>
        <row r="104">
          <cell r="B104" t="str">
            <v>SUB TOTAL OF 24.1</v>
          </cell>
        </row>
        <row r="105">
          <cell r="A105">
            <v>24.2</v>
          </cell>
          <cell r="B105" t="str">
            <v>CONTROL CABLES,1.1 KV, PVC,STRANDED COPPER(As per specification)</v>
          </cell>
        </row>
        <row r="106">
          <cell r="A106" t="str">
            <v>24.2.1</v>
          </cell>
          <cell r="B106" t="str">
            <v>4 CX 2.5 mm2 (ONE DRUM HAVING LENGTH OF 500 MTRS)</v>
          </cell>
          <cell r="C106" t="str">
            <v>NOS.</v>
          </cell>
          <cell r="D106">
            <v>1</v>
          </cell>
        </row>
        <row r="107">
          <cell r="A107" t="str">
            <v>24.2.2</v>
          </cell>
          <cell r="B107" t="str">
            <v>5 CX 2.5 mm2 (ONE DRUM HAVING LENGTH OF 500 MTRS)</v>
          </cell>
          <cell r="C107" t="str">
            <v>NOS.</v>
          </cell>
          <cell r="D107">
            <v>1</v>
          </cell>
        </row>
        <row r="108">
          <cell r="A108" t="str">
            <v>24.2.3</v>
          </cell>
          <cell r="B108" t="str">
            <v>7 CX 2.5 mm2 (ONE DRUM HAVING LENGTH OF 500 MTRS)</v>
          </cell>
          <cell r="C108" t="str">
            <v>NOS.</v>
          </cell>
          <cell r="D108">
            <v>1</v>
          </cell>
        </row>
        <row r="109">
          <cell r="A109" t="str">
            <v>24.2.4</v>
          </cell>
          <cell r="B109" t="str">
            <v>10 CX 2.5 mm2 (ONE DRUM HAVING LENGTH OF 500 MTRS)</v>
          </cell>
          <cell r="C109" t="str">
            <v>NOS.</v>
          </cell>
          <cell r="D109">
            <v>1</v>
          </cell>
        </row>
        <row r="110">
          <cell r="A110" t="str">
            <v>24.2.5</v>
          </cell>
          <cell r="B110" t="str">
            <v>12 CX 2.5 mm2 (ONE DRUM HAVING LENGTH OF 250 MTRS)</v>
          </cell>
          <cell r="C110" t="str">
            <v>NOS.</v>
          </cell>
          <cell r="D110">
            <v>1</v>
          </cell>
        </row>
        <row r="111">
          <cell r="A111" t="str">
            <v>24.2.6</v>
          </cell>
          <cell r="B111" t="str">
            <v>16 CX 2.5 mm2 (ONE DRUM HAVING LENGTH OF 250 MTRS)</v>
          </cell>
          <cell r="C111" t="str">
            <v>NOS.</v>
          </cell>
          <cell r="D111">
            <v>1</v>
          </cell>
        </row>
        <row r="112">
          <cell r="A112" t="str">
            <v>24.2.7</v>
          </cell>
          <cell r="B112" t="str">
            <v>19 CX 2.5 mm2 (ONE DRUM HAVING LENGTH OF 250 MTRS)</v>
          </cell>
          <cell r="C112" t="str">
            <v>NOS.</v>
          </cell>
          <cell r="D112">
            <v>1</v>
          </cell>
        </row>
        <row r="113">
          <cell r="A113" t="str">
            <v>24.2.8</v>
          </cell>
          <cell r="B113" t="str">
            <v>1CX 100 mm2 
BAT TO BAT CHARGER &amp; CHARGER TO DCDB</v>
          </cell>
          <cell r="C113" t="str">
            <v>MTRS</v>
          </cell>
          <cell r="D113">
            <v>50</v>
          </cell>
        </row>
        <row r="114">
          <cell r="B114" t="str">
            <v>SUB TOTAL OF 24.2</v>
          </cell>
        </row>
        <row r="115">
          <cell r="A115">
            <v>24.3</v>
          </cell>
          <cell r="B115" t="str">
            <v>CARRIER COMMUNICATION &amp; OTHER MATERIALS</v>
          </cell>
        </row>
        <row r="116">
          <cell r="A116" t="str">
            <v>24.3.1</v>
          </cell>
          <cell r="B116" t="str">
            <v>220 KV,1600 A,1mH,Pedestal Mounting 
WAVE TRAP</v>
          </cell>
          <cell r="C116" t="str">
            <v>NOS</v>
          </cell>
          <cell r="D116">
            <v>1</v>
          </cell>
        </row>
        <row r="117">
          <cell r="A117" t="str">
            <v>24.3.2</v>
          </cell>
          <cell r="B117" t="str">
            <v>132 KV,800 A,0.5mH,Pedestal Mounting 
WAVE TRAP</v>
          </cell>
          <cell r="C117" t="str">
            <v>NOS</v>
          </cell>
          <cell r="D117">
            <v>1</v>
          </cell>
        </row>
        <row r="118">
          <cell r="A118" t="str">
            <v>24.3.3</v>
          </cell>
          <cell r="B118" t="str">
            <v>LINE MATCHING UNIT &amp; 
LINE MATCHING DISTRIBUTION UNIT</v>
          </cell>
          <cell r="C118" t="str">
            <v>SET</v>
          </cell>
          <cell r="D118">
            <v>1</v>
          </cell>
        </row>
        <row r="119">
          <cell r="A119" t="str">
            <v>24.3.4</v>
          </cell>
          <cell r="B119" t="str">
            <v>PLANTE TYPE BATTERY 550 AH, ONE COMPLETE ASSEMBLY OF BATTERY(FOR 48 V)</v>
          </cell>
          <cell r="C119" t="str">
            <v>NO</v>
          </cell>
          <cell r="D119">
            <v>1</v>
          </cell>
        </row>
        <row r="120">
          <cell r="A120" t="str">
            <v>24.3.5</v>
          </cell>
          <cell r="B120" t="str">
            <v>PLANTE TYPE BATTERY 350 AH, ONE COMPLETE ASSEMBLY OF BATTERY(FOR 220 V)</v>
          </cell>
          <cell r="C120" t="str">
            <v>NO</v>
          </cell>
          <cell r="D120">
            <v>1</v>
          </cell>
        </row>
        <row r="121">
          <cell r="A121" t="str">
            <v>24.3.6</v>
          </cell>
          <cell r="B121" t="str">
            <v>BATTERY CHARGER FOR 550 AH (48V) ONE COMPLETE SET OF ELECTRONIC CARDS</v>
          </cell>
          <cell r="C121" t="str">
            <v>SET</v>
          </cell>
          <cell r="D121">
            <v>1</v>
          </cell>
        </row>
        <row r="122">
          <cell r="A122" t="str">
            <v>24.3.7</v>
          </cell>
          <cell r="B122" t="str">
            <v>BATTERY CHARGER FOR 350 AH (220V) ONE COMPLETE SET OF ELECTRONIC CARDS</v>
          </cell>
          <cell r="C122" t="str">
            <v>SET</v>
          </cell>
          <cell r="D122">
            <v>1</v>
          </cell>
        </row>
        <row r="123">
          <cell r="B123" t="str">
            <v>SUB TOTAL OF 24.3</v>
          </cell>
        </row>
        <row r="124">
          <cell r="A124">
            <v>25</v>
          </cell>
          <cell r="B124" t="str">
            <v>PROTECTION,CONTROL METERING,EVENT LOGGER,BUS BAR PROTN PAN,COMM PAN,RELAY TOOL KITS AS PER
 TECH SPEC AND BOQ FOR PCM</v>
          </cell>
        </row>
        <row r="125">
          <cell r="A125">
            <v>25.1</v>
          </cell>
          <cell r="B125" t="str">
            <v>220 KV SIDE</v>
          </cell>
        </row>
        <row r="126">
          <cell r="A126" t="str">
            <v>25.1.1</v>
          </cell>
          <cell r="B126" t="str">
            <v>DISTANCE PROTECTION RELAY</v>
          </cell>
          <cell r="C126" t="str">
            <v>NOS</v>
          </cell>
          <cell r="D126">
            <v>1</v>
          </cell>
        </row>
        <row r="127">
          <cell r="A127" t="str">
            <v>25.1.2</v>
          </cell>
          <cell r="B127" t="str">
            <v>OVER CURRENT &amp; EARTH FAULT RELAY</v>
          </cell>
          <cell r="C127" t="str">
            <v>NOS</v>
          </cell>
          <cell r="D127">
            <v>1</v>
          </cell>
        </row>
        <row r="128">
          <cell r="A128" t="str">
            <v>25.1.3</v>
          </cell>
          <cell r="B128" t="str">
            <v>MASTER TRIP RELAY</v>
          </cell>
          <cell r="C128" t="str">
            <v>NOS</v>
          </cell>
          <cell r="D128">
            <v>2</v>
          </cell>
        </row>
        <row r="129">
          <cell r="A129" t="str">
            <v>25.1.4</v>
          </cell>
          <cell r="B129" t="str">
            <v>DIFFERENTIAL PROTECTION RELAY</v>
          </cell>
          <cell r="C129" t="str">
            <v>NOS</v>
          </cell>
          <cell r="D129">
            <v>1</v>
          </cell>
        </row>
        <row r="130">
          <cell r="A130" t="str">
            <v>25.1.5</v>
          </cell>
          <cell r="B130" t="str">
            <v>TRIP SUPERVISION RELAY</v>
          </cell>
          <cell r="C130" t="str">
            <v>NOS</v>
          </cell>
          <cell r="D130">
            <v>4</v>
          </cell>
        </row>
        <row r="131">
          <cell r="A131" t="str">
            <v>25.1.6</v>
          </cell>
          <cell r="B131" t="str">
            <v>OTHER AUXILIARY RELAYS(EACH 1 NO. OF DIFFERENT TYPE)</v>
          </cell>
          <cell r="C131" t="str">
            <v>SET</v>
          </cell>
          <cell r="D131">
            <v>1</v>
          </cell>
        </row>
        <row r="132">
          <cell r="A132" t="str">
            <v>25.1.7</v>
          </cell>
          <cell r="B132" t="str">
            <v>ANNUNCIATOR</v>
          </cell>
          <cell r="C132" t="str">
            <v>NOS</v>
          </cell>
          <cell r="D132">
            <v>2</v>
          </cell>
        </row>
        <row r="133">
          <cell r="A133" t="str">
            <v>25.1.8</v>
          </cell>
          <cell r="B133" t="str">
            <v>DISCREPANCY CONTROL SWITCH</v>
          </cell>
        </row>
        <row r="134">
          <cell r="A134" t="str">
            <v>25.1.9</v>
          </cell>
          <cell r="B134" t="str">
            <v>a) FOR CIRCUIT BREAKER</v>
          </cell>
          <cell r="C134" t="str">
            <v>NOS</v>
          </cell>
          <cell r="D134">
            <v>4</v>
          </cell>
        </row>
        <row r="135">
          <cell r="A135" t="str">
            <v>25.1.10</v>
          </cell>
          <cell r="B135" t="str">
            <v>b) FOR ISOLATOR</v>
          </cell>
          <cell r="C135" t="str">
            <v>NOS</v>
          </cell>
          <cell r="D135">
            <v>4</v>
          </cell>
        </row>
        <row r="136">
          <cell r="A136" t="str">
            <v>25.1.11</v>
          </cell>
          <cell r="B136" t="str">
            <v>PROTECTION TRANSFER SWITCH</v>
          </cell>
          <cell r="C136" t="str">
            <v>NOS</v>
          </cell>
          <cell r="D136">
            <v>1</v>
          </cell>
        </row>
        <row r="137">
          <cell r="A137" t="str">
            <v>25.1.12</v>
          </cell>
          <cell r="B137" t="str">
            <v>AMMETER SELECTOR SWITCH</v>
          </cell>
          <cell r="C137" t="str">
            <v>NOS</v>
          </cell>
          <cell r="D137">
            <v>4</v>
          </cell>
        </row>
        <row r="138">
          <cell r="A138" t="str">
            <v>25.1.13</v>
          </cell>
          <cell r="B138" t="str">
            <v>VOLTMETER SELECTOR SWITCH</v>
          </cell>
          <cell r="C138" t="str">
            <v>NOS</v>
          </cell>
          <cell r="D138">
            <v>4</v>
          </cell>
        </row>
        <row r="139">
          <cell r="A139" t="str">
            <v>25.1.14</v>
          </cell>
          <cell r="B139" t="str">
            <v xml:space="preserve">AMMETER ALONG WITH TRANSDUCER </v>
          </cell>
          <cell r="C139" t="str">
            <v>SET</v>
          </cell>
          <cell r="D139">
            <v>2</v>
          </cell>
        </row>
        <row r="140">
          <cell r="A140" t="str">
            <v>25.1.15</v>
          </cell>
          <cell r="B140" t="str">
            <v>VOLTMETER ALONG WITH TRANSDUCER</v>
          </cell>
          <cell r="C140" t="str">
            <v>SET</v>
          </cell>
          <cell r="D140">
            <v>2</v>
          </cell>
        </row>
        <row r="141">
          <cell r="A141" t="str">
            <v>25.1.16</v>
          </cell>
          <cell r="B141" t="str">
            <v xml:space="preserve">MW METER ALONG WITH TRANSDUCER </v>
          </cell>
          <cell r="C141" t="str">
            <v>SET</v>
          </cell>
          <cell r="D141">
            <v>2</v>
          </cell>
        </row>
        <row r="142">
          <cell r="A142" t="str">
            <v>25.1.17</v>
          </cell>
          <cell r="B142" t="str">
            <v>MVAR METER ALONG WITH TRANSDUCER</v>
          </cell>
          <cell r="C142" t="str">
            <v>SET</v>
          </cell>
          <cell r="D142">
            <v>2</v>
          </cell>
        </row>
        <row r="143">
          <cell r="B143" t="str">
            <v>SUB TOTAL OF 25.1</v>
          </cell>
        </row>
        <row r="144">
          <cell r="A144">
            <v>25.2</v>
          </cell>
          <cell r="B144" t="str">
            <v>132 KV SIDE</v>
          </cell>
        </row>
        <row r="145">
          <cell r="A145" t="str">
            <v>25.2.1</v>
          </cell>
          <cell r="B145" t="str">
            <v>DISTANCE PROTECTION RELAY</v>
          </cell>
          <cell r="C145" t="str">
            <v>NOS</v>
          </cell>
          <cell r="D145">
            <v>1</v>
          </cell>
        </row>
        <row r="146">
          <cell r="A146" t="str">
            <v>25.2.2</v>
          </cell>
          <cell r="B146" t="str">
            <v>OVER CURRENT &amp; EARTH FAULT RELAY</v>
          </cell>
          <cell r="C146" t="str">
            <v>NOS</v>
          </cell>
          <cell r="D146">
            <v>1</v>
          </cell>
        </row>
        <row r="147">
          <cell r="A147" t="str">
            <v>25.2.3</v>
          </cell>
          <cell r="B147" t="str">
            <v>MASTER TRIP RELAY</v>
          </cell>
          <cell r="C147" t="str">
            <v>NOS</v>
          </cell>
          <cell r="D147">
            <v>2</v>
          </cell>
        </row>
        <row r="148">
          <cell r="A148" t="str">
            <v>25.2.4</v>
          </cell>
          <cell r="B148" t="str">
            <v>DIFFERENTIAL PROTECTION RELAY</v>
          </cell>
          <cell r="C148" t="str">
            <v>NOS</v>
          </cell>
          <cell r="D148">
            <v>1</v>
          </cell>
        </row>
        <row r="149">
          <cell r="A149" t="str">
            <v>25.2.5</v>
          </cell>
          <cell r="B149" t="str">
            <v>TRIP SUPERVISION RELAY</v>
          </cell>
          <cell r="C149" t="str">
            <v>NOS</v>
          </cell>
          <cell r="D149">
            <v>4</v>
          </cell>
        </row>
        <row r="150">
          <cell r="A150" t="str">
            <v>25.2.6</v>
          </cell>
          <cell r="B150" t="str">
            <v>OTHER AUXILIARY RELAYS(EACH 1 NO. OF DIFFERENT TYPE)</v>
          </cell>
          <cell r="C150" t="str">
            <v>SET</v>
          </cell>
          <cell r="D150">
            <v>1</v>
          </cell>
        </row>
        <row r="151">
          <cell r="A151" t="str">
            <v>25.2.7</v>
          </cell>
          <cell r="B151" t="str">
            <v>ANNUNCIATOR</v>
          </cell>
          <cell r="C151" t="str">
            <v>NOS</v>
          </cell>
          <cell r="D151">
            <v>2</v>
          </cell>
        </row>
        <row r="152">
          <cell r="A152" t="str">
            <v>25.2.8</v>
          </cell>
          <cell r="B152" t="str">
            <v>DISCREPANCY CONTROL SWITCH</v>
          </cell>
        </row>
        <row r="153">
          <cell r="A153" t="str">
            <v>25.2.9</v>
          </cell>
          <cell r="B153" t="str">
            <v>a) FOR CIRCUIT BREAKER</v>
          </cell>
          <cell r="C153" t="str">
            <v>NOS</v>
          </cell>
          <cell r="D153">
            <v>2</v>
          </cell>
        </row>
        <row r="154">
          <cell r="A154" t="str">
            <v>25.2.10</v>
          </cell>
          <cell r="B154" t="str">
            <v>b) FOR ISOLATOR</v>
          </cell>
          <cell r="C154" t="str">
            <v>NOS</v>
          </cell>
          <cell r="D154">
            <v>2</v>
          </cell>
        </row>
        <row r="155">
          <cell r="A155" t="str">
            <v>25.2.11</v>
          </cell>
          <cell r="B155" t="str">
            <v>PROTECTION TRANSFER SWITCH</v>
          </cell>
          <cell r="C155" t="str">
            <v>NOS</v>
          </cell>
          <cell r="D155">
            <v>1</v>
          </cell>
        </row>
        <row r="156">
          <cell r="A156" t="str">
            <v>25.2.12</v>
          </cell>
          <cell r="B156" t="str">
            <v>AMMETER SELECTOR SWITCH</v>
          </cell>
          <cell r="C156" t="str">
            <v>NOS</v>
          </cell>
          <cell r="D156">
            <v>2</v>
          </cell>
        </row>
        <row r="157">
          <cell r="A157" t="str">
            <v>25.2.13</v>
          </cell>
          <cell r="B157" t="str">
            <v>VOLTMETER SELECTOR SWITCH</v>
          </cell>
          <cell r="C157" t="str">
            <v>NOS</v>
          </cell>
          <cell r="D157">
            <v>2</v>
          </cell>
        </row>
        <row r="158">
          <cell r="A158" t="str">
            <v>25.2.14</v>
          </cell>
          <cell r="B158" t="str">
            <v xml:space="preserve">AMMETER ALONG WITH TRANSDUCER </v>
          </cell>
          <cell r="C158" t="str">
            <v>SET</v>
          </cell>
          <cell r="D158">
            <v>2</v>
          </cell>
        </row>
        <row r="159">
          <cell r="A159" t="str">
            <v>25.2.15</v>
          </cell>
          <cell r="B159" t="str">
            <v>VOLTMETER ALONG WITH TRANSDUCER</v>
          </cell>
          <cell r="C159" t="str">
            <v>SET</v>
          </cell>
          <cell r="D159">
            <v>2</v>
          </cell>
        </row>
        <row r="160">
          <cell r="A160" t="str">
            <v>25.2.16</v>
          </cell>
          <cell r="B160" t="str">
            <v xml:space="preserve">MW METER ALONG WITH TRANSDUCER </v>
          </cell>
          <cell r="C160" t="str">
            <v>SET</v>
          </cell>
          <cell r="D160">
            <v>2</v>
          </cell>
        </row>
        <row r="161">
          <cell r="A161" t="str">
            <v>25.2.17</v>
          </cell>
          <cell r="B161" t="str">
            <v>MVAR METER ALONG WITH TRANSDUCER</v>
          </cell>
          <cell r="C161" t="str">
            <v>SET</v>
          </cell>
          <cell r="D161">
            <v>2</v>
          </cell>
        </row>
        <row r="162">
          <cell r="B162" t="str">
            <v>SUB TOTAL OF 25.2</v>
          </cell>
        </row>
        <row r="163">
          <cell r="A163">
            <v>25.3</v>
          </cell>
          <cell r="B163" t="str">
            <v>33 KV SIDE</v>
          </cell>
        </row>
        <row r="164">
          <cell r="A164" t="str">
            <v>25.3.1</v>
          </cell>
          <cell r="B164" t="str">
            <v>OVER CURRENT &amp; EARTH FAULT RELAY</v>
          </cell>
          <cell r="C164" t="str">
            <v>NOS</v>
          </cell>
          <cell r="D164">
            <v>1</v>
          </cell>
        </row>
        <row r="165">
          <cell r="A165" t="str">
            <v>25.3.2</v>
          </cell>
          <cell r="B165" t="str">
            <v>MASTER TRIP RELAY</v>
          </cell>
          <cell r="C165" t="str">
            <v>NOS</v>
          </cell>
          <cell r="D165">
            <v>2</v>
          </cell>
        </row>
        <row r="166">
          <cell r="A166" t="str">
            <v>25.3.3</v>
          </cell>
          <cell r="B166" t="str">
            <v>OTHER AUXILIARY RELAYS (EACH 1 NO. OF DIFFERENT TYPE)</v>
          </cell>
          <cell r="C166" t="str">
            <v>SET</v>
          </cell>
          <cell r="D166">
            <v>1</v>
          </cell>
        </row>
        <row r="167">
          <cell r="A167" t="str">
            <v>25.3.4</v>
          </cell>
          <cell r="B167" t="str">
            <v>ANNUNCIATOR</v>
          </cell>
          <cell r="C167" t="str">
            <v>NOS</v>
          </cell>
          <cell r="D167">
            <v>1</v>
          </cell>
        </row>
        <row r="168">
          <cell r="A168" t="str">
            <v>25.3.5</v>
          </cell>
          <cell r="B168" t="str">
            <v>CONTROL SWITCHES FOR</v>
          </cell>
        </row>
        <row r="169">
          <cell r="A169" t="str">
            <v>25.3.6</v>
          </cell>
          <cell r="B169" t="str">
            <v>a) CIRCUIT BREAKER</v>
          </cell>
          <cell r="C169" t="str">
            <v>NOS</v>
          </cell>
          <cell r="D169">
            <v>1</v>
          </cell>
        </row>
        <row r="170">
          <cell r="A170" t="str">
            <v>25.3.7</v>
          </cell>
          <cell r="B170" t="str">
            <v>b) ISOLATOR</v>
          </cell>
          <cell r="C170" t="str">
            <v>NOS</v>
          </cell>
          <cell r="D170">
            <v>1</v>
          </cell>
        </row>
        <row r="171">
          <cell r="A171" t="str">
            <v>25.3.8</v>
          </cell>
          <cell r="B171" t="str">
            <v>PROTECTION TRANSFER SWITCH</v>
          </cell>
          <cell r="C171" t="str">
            <v>NOS</v>
          </cell>
          <cell r="D171">
            <v>1</v>
          </cell>
        </row>
        <row r="172">
          <cell r="A172" t="str">
            <v>25.3.9</v>
          </cell>
          <cell r="B172" t="str">
            <v>AMMETER SELECTOR SWITCH</v>
          </cell>
          <cell r="C172" t="str">
            <v>NOS</v>
          </cell>
          <cell r="D172">
            <v>2</v>
          </cell>
        </row>
        <row r="173">
          <cell r="A173" t="str">
            <v>25.3.10</v>
          </cell>
          <cell r="B173" t="str">
            <v>VOLTMETER SELECTOR SWITCH</v>
          </cell>
          <cell r="C173" t="str">
            <v>NOS</v>
          </cell>
          <cell r="D173">
            <v>2</v>
          </cell>
        </row>
        <row r="174">
          <cell r="A174" t="str">
            <v>25.3.11</v>
          </cell>
          <cell r="B174" t="str">
            <v xml:space="preserve">AMMETER ALONG WITH TRANSDUCER </v>
          </cell>
          <cell r="C174" t="str">
            <v>SET</v>
          </cell>
          <cell r="D174">
            <v>1</v>
          </cell>
        </row>
        <row r="175">
          <cell r="A175" t="str">
            <v>25.3.12</v>
          </cell>
          <cell r="B175" t="str">
            <v>VOLTMETER ALONG WITH TRANSDUCER</v>
          </cell>
          <cell r="C175" t="str">
            <v>SET</v>
          </cell>
          <cell r="D175">
            <v>1</v>
          </cell>
        </row>
        <row r="176">
          <cell r="A176" t="str">
            <v>25.3.13</v>
          </cell>
          <cell r="B176" t="str">
            <v xml:space="preserve">MW METER ALONG WITH TRANSDUCER </v>
          </cell>
          <cell r="C176" t="str">
            <v>SET</v>
          </cell>
          <cell r="D176">
            <v>1</v>
          </cell>
        </row>
        <row r="177">
          <cell r="A177" t="str">
            <v>25.3.14</v>
          </cell>
          <cell r="B177" t="str">
            <v>MVAR METER ALONG WITH TRANSDUCER</v>
          </cell>
          <cell r="C177" t="str">
            <v>SET</v>
          </cell>
          <cell r="D177">
            <v>1</v>
          </cell>
        </row>
        <row r="178">
          <cell r="B178" t="str">
            <v>SUB TOTAL OF 25.3</v>
          </cell>
        </row>
        <row r="179">
          <cell r="B179" t="str">
            <v>TOTAL OF SUBSTATION (PART-I)--3 -MANDATORY SPARE</v>
          </cell>
        </row>
        <row r="180">
          <cell r="A180" t="str">
            <v>Note:</v>
          </cell>
        </row>
        <row r="181">
          <cell r="A181">
            <v>1</v>
          </cell>
          <cell r="B181" t="str">
            <v>Before filling up rate/amount etc. in the schedules bidders are requested to read carefully the instruction given in Vol-I of Bidding Document.</v>
          </cell>
        </row>
        <row r="182">
          <cell r="A182">
            <v>2</v>
          </cell>
          <cell r="B182" t="str">
            <v>Bidders are required to fill up amount in all column except shaded portion.</v>
          </cell>
        </row>
        <row r="183">
          <cell r="A183">
            <v>3</v>
          </cell>
          <cell r="B183" t="str">
            <v xml:space="preserve">Bidders are requested to not leave any column blank. If any column is left blank it shall be considered that amount against those items are included in any other item and the total amount for that item shall be calculated as free of cost (Zero value). </v>
          </cell>
        </row>
        <row r="184">
          <cell r="A184">
            <v>4</v>
          </cell>
          <cell r="B184" t="str">
            <v>Kindly enclose soft copy of the duly filled schedule in a CD with the priced copy of Bid.</v>
          </cell>
        </row>
        <row r="185">
          <cell r="A185">
            <v>5</v>
          </cell>
          <cell r="B185" t="str">
            <v>In mode of transaction column please indicate Direct/Bought-Out. For Taxes &amp; Duties on Direct/Bought-out items ref clause 6.0 of SCC (Vol-IA)</v>
          </cell>
        </row>
        <row r="186">
          <cell r="A186">
            <v>6</v>
          </cell>
          <cell r="B186" t="str">
            <v>Bidder should quoted F&amp;I including service tax, no service tax shall be paid/reimbursed on this account.</v>
          </cell>
        </row>
        <row r="187">
          <cell r="A187" t="str">
            <v>Date :</v>
          </cell>
          <cell r="B187" t="str">
            <v>25-06-2012</v>
          </cell>
        </row>
        <row r="188">
          <cell r="A188" t="str">
            <v>Place:</v>
          </cell>
          <cell r="B188" t="str">
            <v>Mumbai</v>
          </cell>
        </row>
      </sheetData>
      <sheetData sheetId="10"/>
      <sheetData sheetId="11"/>
      <sheetData sheetId="12"/>
      <sheetData sheetId="13"/>
      <sheetData sheetId="14"/>
      <sheetData sheetId="15"/>
      <sheetData sheetId="16">
        <row r="5">
          <cell r="I5">
            <v>150</v>
          </cell>
        </row>
      </sheetData>
      <sheetData sheetId="17"/>
      <sheetData sheetId="18"/>
      <sheetData sheetId="19"/>
      <sheetData sheetId="20"/>
      <sheetData sheetId="2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s>
    <sheetDataSet>
      <sheetData sheetId="0"/>
      <sheetData sheetId="1">
        <row r="14">
          <cell r="G14">
            <v>3.7079999999999997</v>
          </cell>
        </row>
      </sheetData>
      <sheetData sheetId="2"/>
      <sheetData sheetId="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s>
    <sheetDataSet>
      <sheetData sheetId="0"/>
      <sheetData sheetId="1"/>
      <sheetData sheetId="2"/>
      <sheetData sheetId="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urance Working"/>
      <sheetName val="Summary Sheet"/>
      <sheetName val="OH SHEET"/>
      <sheetName val="SUMMARY 3A"/>
      <sheetName val="SUMMARY 3B"/>
      <sheetName val="Civil Working"/>
      <sheetName val="Sheet1"/>
      <sheetName val="TAG LIST"/>
      <sheetName val="Transformers"/>
      <sheetName val="Cables"/>
      <sheetName val="Conductors"/>
      <sheetName val="Steel &amp; HW"/>
    </sheetNames>
    <sheetDataSet>
      <sheetData sheetId="0" refreshError="1"/>
      <sheetData sheetId="1">
        <row r="3">
          <cell r="I3">
            <v>256993732.85955963</v>
          </cell>
        </row>
      </sheetData>
      <sheetData sheetId="2" refreshError="1"/>
      <sheetData sheetId="3">
        <row r="19">
          <cell r="D19">
            <v>2</v>
          </cell>
        </row>
      </sheetData>
      <sheetData sheetId="4">
        <row r="375">
          <cell r="R375">
            <v>33513861.863228448</v>
          </cell>
        </row>
      </sheetData>
      <sheetData sheetId="5" refreshError="1"/>
      <sheetData sheetId="6" refreshError="1"/>
      <sheetData sheetId="7">
        <row r="4">
          <cell r="B4" t="str">
            <v>Tag</v>
          </cell>
        </row>
        <row r="5">
          <cell r="B5" t="str">
            <v>-</v>
          </cell>
        </row>
        <row r="6">
          <cell r="B6" t="str">
            <v>BAT-CRG-BAT12V</v>
          </cell>
        </row>
        <row r="7">
          <cell r="B7" t="str">
            <v>BAT-CRG-BAT30V</v>
          </cell>
        </row>
        <row r="8">
          <cell r="B8" t="str">
            <v>BAT-CRG-BATCRG12V</v>
          </cell>
        </row>
        <row r="9">
          <cell r="B9" t="str">
            <v>BAT-CRG-BATCRG30V</v>
          </cell>
        </row>
        <row r="10">
          <cell r="B10" t="str">
            <v>BKR-I/D-12KV</v>
          </cell>
        </row>
        <row r="11">
          <cell r="B11" t="str">
            <v>BKR-I/D-33KV</v>
          </cell>
        </row>
        <row r="12">
          <cell r="B12" t="str">
            <v>BKR-O/D-33KV</v>
          </cell>
        </row>
        <row r="13">
          <cell r="B13" t="str">
            <v>BKR-O/D-33KVCRP</v>
          </cell>
        </row>
        <row r="14">
          <cell r="B14" t="str">
            <v>BUS-S/S</v>
          </cell>
        </row>
        <row r="15">
          <cell r="B15" t="str">
            <v>CABLE-CONTROL</v>
          </cell>
        </row>
        <row r="16">
          <cell r="B16" t="str">
            <v>CABLE-DT-1x25</v>
          </cell>
        </row>
        <row r="17">
          <cell r="B17" t="str">
            <v>CABLE-DT-1x50</v>
          </cell>
        </row>
        <row r="18">
          <cell r="B18" t="str">
            <v>CABLE-DT-1x70</v>
          </cell>
        </row>
        <row r="19">
          <cell r="B19" t="str">
            <v>CABLE-DT-2x1x95</v>
          </cell>
        </row>
        <row r="20">
          <cell r="B20" t="str">
            <v>CABLE-DT-1x120</v>
          </cell>
        </row>
        <row r="21">
          <cell r="B21" t="str">
            <v>CABLE-FIRE ALARM/EXTNG</v>
          </cell>
        </row>
        <row r="22">
          <cell r="B22" t="str">
            <v>CABLE-HTAB-185</v>
          </cell>
        </row>
        <row r="23">
          <cell r="B23" t="str">
            <v>CABLE-HTAB-120</v>
          </cell>
        </row>
        <row r="24">
          <cell r="B24" t="str">
            <v>CABLE-HTAB-95</v>
          </cell>
        </row>
        <row r="25">
          <cell r="B25" t="str">
            <v>CABLE-HTAB-70</v>
          </cell>
        </row>
        <row r="26">
          <cell r="B26" t="str">
            <v>CABLE-LTAB-3X50+16+35</v>
          </cell>
        </row>
        <row r="27">
          <cell r="B27" t="str">
            <v>CABLE-LTKIOSK-3.5x35</v>
          </cell>
        </row>
        <row r="28">
          <cell r="B28" t="str">
            <v>CABLE-LTKIOSK-4x25</v>
          </cell>
        </row>
        <row r="29">
          <cell r="B29" t="str">
            <v>CABLE-SER</v>
          </cell>
        </row>
        <row r="30">
          <cell r="B30" t="str">
            <v>CABLE-SER-2x4</v>
          </cell>
        </row>
        <row r="31">
          <cell r="B31" t="str">
            <v>CABLE-SER-2x6</v>
          </cell>
        </row>
        <row r="32">
          <cell r="B32" t="str">
            <v>CABLE-SER-4x16</v>
          </cell>
        </row>
        <row r="33">
          <cell r="B33" t="str">
            <v>CABLE-SER-3.5x25</v>
          </cell>
        </row>
        <row r="34">
          <cell r="B34" t="str">
            <v>CABLE-UG</v>
          </cell>
        </row>
        <row r="35">
          <cell r="B35" t="str">
            <v>CABLE-UG-11KV-3X185</v>
          </cell>
        </row>
        <row r="36">
          <cell r="B36" t="str">
            <v>CABLE-UG-11KV-3X300</v>
          </cell>
        </row>
        <row r="37">
          <cell r="B37" t="str">
            <v>CABLE-UG-33KV-3X300</v>
          </cell>
        </row>
        <row r="38">
          <cell r="B38" t="str">
            <v>CABLE-UG-33KV-3X400</v>
          </cell>
        </row>
        <row r="39">
          <cell r="B39" t="str">
            <v>CABLE-UG-LT</v>
          </cell>
        </row>
        <row r="40">
          <cell r="B40" t="str">
            <v>CIVIL</v>
          </cell>
        </row>
        <row r="41">
          <cell r="B41" t="str">
            <v>CIVIL-ERTH-INS PIT-S/S</v>
          </cell>
        </row>
        <row r="42">
          <cell r="B42" t="str">
            <v>CIVIL-ERTH-S/S</v>
          </cell>
        </row>
        <row r="43">
          <cell r="B43" t="str">
            <v>CIVIL-INS PIT-SHIELDING-S/S</v>
          </cell>
        </row>
        <row r="44">
          <cell r="B44" t="str">
            <v>CIVIL-INS PIT-VHF-S/S</v>
          </cell>
        </row>
        <row r="45">
          <cell r="B45" t="str">
            <v>CIVIL-S/S</v>
          </cell>
        </row>
        <row r="46">
          <cell r="B46" t="str">
            <v>COND-AAC-25-CKM</v>
          </cell>
        </row>
        <row r="47">
          <cell r="B47" t="str">
            <v>COND-AAC-50-CKM</v>
          </cell>
        </row>
        <row r="48">
          <cell r="B48" t="str">
            <v>COND-DOG-CKM</v>
          </cell>
        </row>
        <row r="49">
          <cell r="B49" t="str">
            <v>COND-GI-4MM</v>
          </cell>
        </row>
        <row r="50">
          <cell r="B50" t="str">
            <v>COND-PANTHER-BUS-S/S</v>
          </cell>
        </row>
        <row r="51">
          <cell r="B51" t="str">
            <v>COND-RABBIT-CKM</v>
          </cell>
        </row>
        <row r="52">
          <cell r="B52" t="str">
            <v>CT-PT-33KVCT</v>
          </cell>
        </row>
        <row r="53">
          <cell r="B53" t="str">
            <v>CT-PT-33KVPT</v>
          </cell>
        </row>
        <row r="54">
          <cell r="B54" t="str">
            <v>DB-ACDB</v>
          </cell>
        </row>
        <row r="55">
          <cell r="B55" t="str">
            <v>DB-CAP-200</v>
          </cell>
        </row>
        <row r="56">
          <cell r="B56" t="str">
            <v>DB-CAP-100</v>
          </cell>
        </row>
        <row r="57">
          <cell r="B57" t="str">
            <v>DB-CAP-25</v>
          </cell>
        </row>
        <row r="58">
          <cell r="B58" t="str">
            <v>DB-CAP-63</v>
          </cell>
        </row>
        <row r="59">
          <cell r="B59" t="str">
            <v>DB-DCDB</v>
          </cell>
        </row>
        <row r="60">
          <cell r="B60" t="str">
            <v>DB-ELDB</v>
          </cell>
        </row>
        <row r="61">
          <cell r="B61" t="str">
            <v>DB-LTDB200</v>
          </cell>
        </row>
        <row r="62">
          <cell r="B62" t="str">
            <v>DB-LTDB100</v>
          </cell>
        </row>
        <row r="63">
          <cell r="B63" t="str">
            <v>DB-LTDB25</v>
          </cell>
        </row>
        <row r="64">
          <cell r="B64" t="str">
            <v>DB-LTDB63</v>
          </cell>
        </row>
        <row r="65">
          <cell r="B65" t="str">
            <v>DB-LTG</v>
          </cell>
        </row>
        <row r="66">
          <cell r="B66" t="str">
            <v>DB-LTKIOSK</v>
          </cell>
        </row>
        <row r="67">
          <cell r="B67" t="str">
            <v>DB-SERVICE</v>
          </cell>
        </row>
        <row r="68">
          <cell r="B68" t="str">
            <v>ERTH-S/S</v>
          </cell>
        </row>
        <row r="69">
          <cell r="B69" t="str">
            <v>ERTH-SPK &amp; GI</v>
          </cell>
        </row>
        <row r="70">
          <cell r="B70" t="str">
            <v>FIRE ALARM/EXTNG</v>
          </cell>
        </row>
        <row r="71">
          <cell r="B71" t="str">
            <v>GI-5MM-SER</v>
          </cell>
        </row>
        <row r="72">
          <cell r="B72" t="str">
            <v>GI-ACD</v>
          </cell>
        </row>
        <row r="73">
          <cell r="B73" t="str">
            <v>GUARDING-CRADDLE</v>
          </cell>
        </row>
        <row r="74">
          <cell r="B74" t="str">
            <v>GUARDING-DIAMOND</v>
          </cell>
        </row>
        <row r="75">
          <cell r="B75" t="str">
            <v>HT EQP-HG-11KV</v>
          </cell>
        </row>
        <row r="76">
          <cell r="B76" t="str">
            <v>HT EQP-ISO-11KV</v>
          </cell>
        </row>
        <row r="77">
          <cell r="B77" t="str">
            <v>HT EQP-ISO-33KV</v>
          </cell>
        </row>
        <row r="78">
          <cell r="B78" t="str">
            <v>HT EQP-LA-12KV</v>
          </cell>
        </row>
        <row r="79">
          <cell r="B79" t="str">
            <v>HT EQP-LA-42KVSTN</v>
          </cell>
        </row>
        <row r="80">
          <cell r="B80" t="str">
            <v>HW-AB-IPC-STREET</v>
          </cell>
        </row>
        <row r="81">
          <cell r="B81" t="str">
            <v>HW-CI-REEL</v>
          </cell>
        </row>
        <row r="82">
          <cell r="B82" t="str">
            <v>HW-DANGER</v>
          </cell>
        </row>
        <row r="83">
          <cell r="B83" t="str">
            <v>HW-DISC-45KN</v>
          </cell>
        </row>
        <row r="84">
          <cell r="B84" t="str">
            <v>HW-DISC-70KN</v>
          </cell>
        </row>
        <row r="85">
          <cell r="B85" t="str">
            <v>HW-HTAB-DE</v>
          </cell>
        </row>
        <row r="86">
          <cell r="B86" t="str">
            <v>HW-HTAB-DSC</v>
          </cell>
        </row>
        <row r="87">
          <cell r="B87" t="str">
            <v>HW-HTAB-SSC</v>
          </cell>
        </row>
        <row r="88">
          <cell r="B88" t="str">
            <v>HW-HTAB-TAP</v>
          </cell>
        </row>
        <row r="89">
          <cell r="B89" t="str">
            <v>HW-LTAB-DE</v>
          </cell>
        </row>
        <row r="90">
          <cell r="B90" t="str">
            <v>HW-LTAB-SSC</v>
          </cell>
        </row>
        <row r="91">
          <cell r="B91" t="str">
            <v>HW-LT-SPACER</v>
          </cell>
        </row>
        <row r="92">
          <cell r="B92" t="str">
            <v>HW-PG-DOG</v>
          </cell>
        </row>
        <row r="93">
          <cell r="B93" t="str">
            <v>HW-PG-RABBIT</v>
          </cell>
        </row>
        <row r="94">
          <cell r="B94" t="str">
            <v>INS-11KV-DISC-45KN</v>
          </cell>
        </row>
        <row r="95">
          <cell r="B95" t="str">
            <v>INS-11KV-DISC-70KN</v>
          </cell>
        </row>
        <row r="96">
          <cell r="B96" t="str">
            <v>INS-11KV-PIN</v>
          </cell>
        </row>
        <row r="97">
          <cell r="B97" t="str">
            <v>INS-33KV-PIN</v>
          </cell>
        </row>
        <row r="98">
          <cell r="B98" t="str">
            <v>INS-BAY-S/S</v>
          </cell>
        </row>
        <row r="99">
          <cell r="B99" t="str">
            <v>INS-LT-SHK</v>
          </cell>
        </row>
        <row r="100">
          <cell r="B100" t="str">
            <v>IPS-BUS-S/S</v>
          </cell>
        </row>
        <row r="101">
          <cell r="B101" t="str">
            <v>LIGHTNING-PROT</v>
          </cell>
        </row>
        <row r="102">
          <cell r="B102" t="str">
            <v>LTG -FIXT</v>
          </cell>
        </row>
        <row r="103">
          <cell r="B103" t="str">
            <v>METER+PPBOX</v>
          </cell>
        </row>
        <row r="104">
          <cell r="B104" t="str">
            <v>METER+PPBOX-1PH</v>
          </cell>
        </row>
        <row r="105">
          <cell r="B105" t="str">
            <v>METER+PPBOX-3PH</v>
          </cell>
        </row>
        <row r="106">
          <cell r="B106" t="str">
            <v>MISC</v>
          </cell>
        </row>
        <row r="107">
          <cell r="B107" t="str">
            <v>PAINT-S/S</v>
          </cell>
        </row>
        <row r="108">
          <cell r="B108" t="str">
            <v>PIPE LAYING</v>
          </cell>
        </row>
        <row r="109">
          <cell r="B109" t="str">
            <v>PIPE LAYING RAILWAY</v>
          </cell>
        </row>
        <row r="110">
          <cell r="B110" t="str">
            <v>POLE-8M-200</v>
          </cell>
        </row>
        <row r="111">
          <cell r="B111" t="str">
            <v>POLE-9M-400</v>
          </cell>
        </row>
        <row r="112">
          <cell r="B112" t="str">
            <v>POLE-NUMB</v>
          </cell>
        </row>
        <row r="113">
          <cell r="B113" t="str">
            <v>STEEL-11KV-TA</v>
          </cell>
        </row>
        <row r="114">
          <cell r="B114" t="str">
            <v>STEEL-11KV-V</v>
          </cell>
        </row>
        <row r="115">
          <cell r="B115" t="str">
            <v>STEEL-33KV-TA</v>
          </cell>
        </row>
        <row r="116">
          <cell r="B116" t="str">
            <v>STEEL-33KV-V</v>
          </cell>
        </row>
        <row r="117">
          <cell r="B117" t="str">
            <v>STEEL-D-CLAMP</v>
          </cell>
        </row>
        <row r="118">
          <cell r="B118" t="str">
            <v>STEEL-KG</v>
          </cell>
        </row>
        <row r="119">
          <cell r="B119" t="str">
            <v>STEEL-KG-DISMANTLING</v>
          </cell>
        </row>
        <row r="120">
          <cell r="B120" t="str">
            <v>STEEL-RAIL</v>
          </cell>
        </row>
        <row r="121">
          <cell r="B121" t="str">
            <v>STEEL-SHK-STRP</v>
          </cell>
        </row>
        <row r="122">
          <cell r="B122" t="str">
            <v>STEEL-STAY-HT</v>
          </cell>
        </row>
        <row r="123">
          <cell r="B123" t="str">
            <v>STEEL-STAY-LT</v>
          </cell>
        </row>
        <row r="124">
          <cell r="B124" t="str">
            <v>SURVEY</v>
          </cell>
        </row>
        <row r="125">
          <cell r="B125" t="str">
            <v>SURVEY-HT</v>
          </cell>
        </row>
        <row r="126">
          <cell r="B126" t="str">
            <v>SURVEY-LT</v>
          </cell>
        </row>
        <row r="127">
          <cell r="B127" t="str">
            <v>TERM-11KV-ID-3X185</v>
          </cell>
        </row>
        <row r="128">
          <cell r="B128" t="str">
            <v>TERM-11KV-ID-3X300</v>
          </cell>
        </row>
        <row r="129">
          <cell r="B129" t="str">
            <v>TERM-11KV-OD-3X185</v>
          </cell>
        </row>
        <row r="130">
          <cell r="B130" t="str">
            <v>TERM-11KV-OD-3X300</v>
          </cell>
        </row>
        <row r="131">
          <cell r="B131" t="str">
            <v>TERM-33KV-ID-3X300</v>
          </cell>
        </row>
        <row r="132">
          <cell r="B132" t="str">
            <v>TERM-33KV-ID-3X400</v>
          </cell>
        </row>
        <row r="133">
          <cell r="B133" t="str">
            <v>TERM-33KV-OD-3X300</v>
          </cell>
        </row>
        <row r="134">
          <cell r="B134" t="str">
            <v>TERM-33KV-OD-3X400</v>
          </cell>
        </row>
        <row r="135">
          <cell r="B135" t="str">
            <v>TERM-HTAB-185</v>
          </cell>
        </row>
        <row r="136">
          <cell r="B136" t="str">
            <v>TERM-HTAB-120</v>
          </cell>
        </row>
        <row r="137">
          <cell r="B137" t="str">
            <v>TERM-HTAB-95</v>
          </cell>
        </row>
        <row r="138">
          <cell r="B138" t="str">
            <v>TERM-ST-11KV-3X185</v>
          </cell>
        </row>
        <row r="139">
          <cell r="B139" t="str">
            <v>TERM-ST-11KV-3X300</v>
          </cell>
        </row>
        <row r="140">
          <cell r="B140" t="str">
            <v>TERM-ST-33KV-3X300</v>
          </cell>
        </row>
        <row r="141">
          <cell r="B141" t="str">
            <v>TERM-ST-33KV-3X400</v>
          </cell>
        </row>
        <row r="142">
          <cell r="B142" t="str">
            <v>TERM-ST-HTAB-185</v>
          </cell>
        </row>
        <row r="143">
          <cell r="B143" t="str">
            <v>TERM-ST-HTAB-120</v>
          </cell>
        </row>
        <row r="144">
          <cell r="B144" t="str">
            <v>TERM-ST-HTAB-95</v>
          </cell>
        </row>
        <row r="145">
          <cell r="B145" t="str">
            <v>TRAFO-100KVA-DT</v>
          </cell>
        </row>
        <row r="146">
          <cell r="B146" t="str">
            <v>TRAFO-100KVA-SER</v>
          </cell>
        </row>
        <row r="147">
          <cell r="B147" t="str">
            <v>TRAFO-10MVA</v>
          </cell>
        </row>
        <row r="148">
          <cell r="B148" t="str">
            <v>TRAFO-6.3MVA</v>
          </cell>
        </row>
        <row r="149">
          <cell r="B149" t="str">
            <v>TRAFO-63KVA-DT</v>
          </cell>
        </row>
        <row r="150">
          <cell r="B150" t="str">
            <v>TRAFO-25KVA-DT</v>
          </cell>
        </row>
        <row r="151">
          <cell r="B151" t="str">
            <v>VHF</v>
          </cell>
        </row>
      </sheetData>
      <sheetData sheetId="8" refreshError="1"/>
      <sheetData sheetId="9" refreshError="1"/>
      <sheetData sheetId="10" refreshError="1"/>
      <sheetData sheetId="11">
        <row r="82">
          <cell r="I82">
            <v>13.083800000000002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D1686-FECC-49E9-8707-E6087E03F968}">
  <sheetPr>
    <pageSetUpPr fitToPage="1"/>
  </sheetPr>
  <dimension ref="A1:I104"/>
  <sheetViews>
    <sheetView tabSelected="1" zoomScale="85" zoomScaleNormal="85" workbookViewId="0">
      <selection activeCell="C9" sqref="C9:D9"/>
    </sheetView>
  </sheetViews>
  <sheetFormatPr defaultColWidth="9.109375" defaultRowHeight="14.4" x14ac:dyDescent="0.3"/>
  <cols>
    <col min="1" max="1" width="4.44140625" style="2" customWidth="1"/>
    <col min="2" max="2" width="22" style="2" customWidth="1"/>
    <col min="3" max="3" width="16.77734375" style="3" customWidth="1"/>
    <col min="4" max="4" width="16.77734375" style="1" customWidth="1"/>
    <col min="5" max="5" width="94.5546875" style="2" customWidth="1"/>
    <col min="6" max="6" width="14" style="1" customWidth="1"/>
    <col min="7" max="7" width="11.6640625" style="1" customWidth="1"/>
    <col min="8" max="8" width="13.5546875" style="1" bestFit="1" customWidth="1"/>
    <col min="9" max="9" width="23.44140625" style="2" customWidth="1"/>
    <col min="10" max="16384" width="9.109375" style="2"/>
  </cols>
  <sheetData>
    <row r="1" spans="1:8" x14ac:dyDescent="0.3">
      <c r="A1" s="57" t="s">
        <v>40</v>
      </c>
      <c r="B1" s="57"/>
      <c r="C1" s="57"/>
      <c r="D1" s="57"/>
      <c r="E1" s="57"/>
      <c r="F1" s="57"/>
      <c r="G1" s="4"/>
      <c r="H1" s="35" t="s">
        <v>0</v>
      </c>
    </row>
    <row r="2" spans="1:8" x14ac:dyDescent="0.3">
      <c r="A2" s="1"/>
    </row>
    <row r="3" spans="1:8" x14ac:dyDescent="0.3">
      <c r="A3" s="1"/>
      <c r="C3" s="64" t="s">
        <v>1</v>
      </c>
      <c r="D3" s="65"/>
      <c r="E3" s="5" t="s">
        <v>2</v>
      </c>
      <c r="F3" s="6">
        <v>0.2</v>
      </c>
    </row>
    <row r="4" spans="1:8" x14ac:dyDescent="0.3">
      <c r="A4" s="1"/>
      <c r="C4" s="64"/>
      <c r="D4" s="65"/>
      <c r="E4" s="5" t="s">
        <v>3</v>
      </c>
      <c r="F4" s="6">
        <v>0.1</v>
      </c>
    </row>
    <row r="5" spans="1:8" x14ac:dyDescent="0.3">
      <c r="A5" s="1"/>
      <c r="C5" s="64"/>
      <c r="D5" s="65"/>
      <c r="E5" s="5" t="s">
        <v>4</v>
      </c>
      <c r="F5" s="6">
        <v>0.1</v>
      </c>
    </row>
    <row r="6" spans="1:8" x14ac:dyDescent="0.3">
      <c r="A6" s="1"/>
      <c r="C6" s="64"/>
      <c r="D6" s="65"/>
      <c r="E6" s="5" t="s">
        <v>5</v>
      </c>
      <c r="F6" s="6">
        <v>0.1</v>
      </c>
    </row>
    <row r="7" spans="1:8" x14ac:dyDescent="0.3">
      <c r="A7" s="1"/>
      <c r="C7" s="64"/>
      <c r="D7" s="65"/>
      <c r="E7" s="5" t="s">
        <v>6</v>
      </c>
      <c r="F7" s="6">
        <v>0.05</v>
      </c>
    </row>
    <row r="8" spans="1:8" x14ac:dyDescent="0.3">
      <c r="A8" s="1"/>
      <c r="C8" s="64"/>
      <c r="D8" s="65"/>
      <c r="E8" s="5" t="s">
        <v>7</v>
      </c>
      <c r="F8" s="6">
        <v>0.1</v>
      </c>
    </row>
    <row r="9" spans="1:8" x14ac:dyDescent="0.3">
      <c r="A9" s="1"/>
      <c r="C9" s="64"/>
      <c r="D9" s="65"/>
      <c r="E9" s="5" t="s">
        <v>8</v>
      </c>
      <c r="F9" s="6">
        <v>0.02</v>
      </c>
    </row>
    <row r="10" spans="1:8" x14ac:dyDescent="0.3">
      <c r="A10" s="1"/>
      <c r="C10" s="64"/>
      <c r="D10" s="65"/>
      <c r="E10" s="5" t="s">
        <v>51</v>
      </c>
      <c r="F10" s="6">
        <v>0.03</v>
      </c>
    </row>
    <row r="11" spans="1:8" x14ac:dyDescent="0.3">
      <c r="A11" s="1"/>
      <c r="C11" s="64"/>
      <c r="D11" s="65"/>
      <c r="E11" s="5" t="s">
        <v>55</v>
      </c>
      <c r="F11" s="6">
        <v>0.05</v>
      </c>
    </row>
    <row r="12" spans="1:8" x14ac:dyDescent="0.3">
      <c r="A12" s="1"/>
      <c r="C12" s="64"/>
      <c r="D12" s="65"/>
      <c r="E12" s="5" t="s">
        <v>59</v>
      </c>
      <c r="F12" s="6">
        <v>0.05</v>
      </c>
    </row>
    <row r="13" spans="1:8" x14ac:dyDescent="0.3">
      <c r="A13" s="1"/>
      <c r="C13" s="64"/>
      <c r="D13" s="65"/>
      <c r="E13" s="5" t="s">
        <v>64</v>
      </c>
      <c r="F13" s="6">
        <v>0.03</v>
      </c>
    </row>
    <row r="14" spans="1:8" x14ac:dyDescent="0.3">
      <c r="A14" s="1"/>
      <c r="C14" s="64"/>
      <c r="D14" s="65"/>
      <c r="E14" s="5" t="s">
        <v>68</v>
      </c>
      <c r="F14" s="6">
        <v>0.02</v>
      </c>
    </row>
    <row r="15" spans="1:8" x14ac:dyDescent="0.3">
      <c r="A15" s="1"/>
      <c r="C15" s="64"/>
      <c r="D15" s="65"/>
      <c r="E15" s="5" t="s">
        <v>75</v>
      </c>
      <c r="F15" s="6">
        <v>0.05</v>
      </c>
    </row>
    <row r="16" spans="1:8" x14ac:dyDescent="0.3">
      <c r="A16" s="1"/>
      <c r="C16" s="64"/>
      <c r="D16" s="65"/>
      <c r="E16" s="5" t="s">
        <v>96</v>
      </c>
      <c r="F16" s="6">
        <v>0.05</v>
      </c>
    </row>
    <row r="17" spans="1:9" x14ac:dyDescent="0.3">
      <c r="A17" s="1"/>
      <c r="C17" s="64"/>
      <c r="D17" s="65"/>
      <c r="E17" s="5" t="s">
        <v>102</v>
      </c>
      <c r="F17" s="6">
        <v>0.05</v>
      </c>
    </row>
    <row r="18" spans="1:9" x14ac:dyDescent="0.3">
      <c r="A18" s="1"/>
      <c r="C18" s="64"/>
      <c r="D18" s="65"/>
      <c r="E18" s="7" t="s">
        <v>9</v>
      </c>
      <c r="F18" s="8">
        <f>SUM(F3:F17)</f>
        <v>1.0000000000000002</v>
      </c>
    </row>
    <row r="19" spans="1:9" x14ac:dyDescent="0.3">
      <c r="A19" s="1"/>
      <c r="C19" s="64"/>
      <c r="D19" s="65"/>
      <c r="E19" s="9"/>
    </row>
    <row r="20" spans="1:9" x14ac:dyDescent="0.3">
      <c r="A20" s="1"/>
      <c r="C20" s="58" t="s">
        <v>10</v>
      </c>
      <c r="D20" s="58"/>
      <c r="E20" s="9"/>
      <c r="F20" s="10"/>
      <c r="G20" s="9"/>
      <c r="H20" s="9"/>
      <c r="I20" s="9"/>
    </row>
    <row r="21" spans="1:9" x14ac:dyDescent="0.3">
      <c r="A21" s="1"/>
      <c r="C21" s="58" t="s">
        <v>11</v>
      </c>
      <c r="D21" s="58"/>
      <c r="E21" s="11"/>
      <c r="F21" s="11"/>
      <c r="G21" s="12"/>
      <c r="H21" s="12"/>
      <c r="I21" s="11"/>
    </row>
    <row r="22" spans="1:9" x14ac:dyDescent="0.3">
      <c r="A22" s="1"/>
      <c r="C22" s="58" t="s">
        <v>94</v>
      </c>
      <c r="D22" s="58"/>
      <c r="E22" s="11"/>
      <c r="F22" s="11"/>
      <c r="G22" s="12"/>
      <c r="H22" s="12"/>
      <c r="I22" s="11"/>
    </row>
    <row r="23" spans="1:9" x14ac:dyDescent="0.3">
      <c r="A23" s="1"/>
      <c r="C23" s="58" t="s">
        <v>95</v>
      </c>
      <c r="D23" s="58"/>
      <c r="E23" s="11"/>
      <c r="F23" s="11"/>
      <c r="G23" s="12"/>
      <c r="H23" s="12"/>
      <c r="I23" s="11"/>
    </row>
    <row r="24" spans="1:9" x14ac:dyDescent="0.3">
      <c r="A24" s="1"/>
      <c r="D24" s="59"/>
      <c r="E24" s="59"/>
    </row>
    <row r="25" spans="1:9" s="14" customFormat="1" ht="28.8" x14ac:dyDescent="0.3">
      <c r="A25" s="13" t="s">
        <v>82</v>
      </c>
      <c r="B25" s="13" t="s">
        <v>12</v>
      </c>
      <c r="C25" s="13" t="s">
        <v>13</v>
      </c>
      <c r="D25" s="13" t="s">
        <v>14</v>
      </c>
      <c r="E25" s="13" t="s">
        <v>15</v>
      </c>
      <c r="F25" s="13" t="s">
        <v>16</v>
      </c>
      <c r="G25" s="13" t="s">
        <v>41</v>
      </c>
      <c r="H25" s="13" t="s">
        <v>42</v>
      </c>
      <c r="I25" s="13" t="s">
        <v>43</v>
      </c>
    </row>
    <row r="26" spans="1:9" s="14" customFormat="1" x14ac:dyDescent="0.3">
      <c r="A26" s="13">
        <v>1</v>
      </c>
      <c r="B26" s="13">
        <v>2</v>
      </c>
      <c r="C26" s="13">
        <v>3</v>
      </c>
      <c r="D26" s="13">
        <v>4</v>
      </c>
      <c r="E26" s="13">
        <v>5</v>
      </c>
      <c r="F26" s="13">
        <v>6</v>
      </c>
      <c r="G26" s="13">
        <v>7</v>
      </c>
      <c r="H26" s="13">
        <v>8</v>
      </c>
      <c r="I26" s="13">
        <v>9</v>
      </c>
    </row>
    <row r="27" spans="1:9" ht="72" x14ac:dyDescent="0.3">
      <c r="A27" s="53">
        <v>1</v>
      </c>
      <c r="B27" s="54" t="s">
        <v>2</v>
      </c>
      <c r="C27" s="55" t="s">
        <v>17</v>
      </c>
      <c r="D27" s="60">
        <v>0.2</v>
      </c>
      <c r="E27" s="24" t="s">
        <v>83</v>
      </c>
      <c r="F27" s="19">
        <v>1</v>
      </c>
      <c r="G27" s="19"/>
      <c r="H27" s="32">
        <f>G27*$D$27</f>
        <v>0</v>
      </c>
      <c r="I27" s="24"/>
    </row>
    <row r="28" spans="1:9" ht="57.6" x14ac:dyDescent="0.3">
      <c r="A28" s="53"/>
      <c r="B28" s="54"/>
      <c r="C28" s="55"/>
      <c r="D28" s="61"/>
      <c r="E28" s="24" t="s">
        <v>80</v>
      </c>
      <c r="F28" s="17">
        <v>0.875</v>
      </c>
      <c r="G28" s="32"/>
      <c r="H28" s="32">
        <f t="shared" ref="H28:H35" si="0">G28*$D$27</f>
        <v>0</v>
      </c>
      <c r="I28" s="24"/>
    </row>
    <row r="29" spans="1:9" ht="72" x14ac:dyDescent="0.3">
      <c r="A29" s="53"/>
      <c r="B29" s="54"/>
      <c r="C29" s="55"/>
      <c r="D29" s="61"/>
      <c r="E29" s="5" t="s">
        <v>48</v>
      </c>
      <c r="F29" s="17">
        <v>0.75</v>
      </c>
      <c r="G29" s="32"/>
      <c r="H29" s="32">
        <f t="shared" si="0"/>
        <v>0</v>
      </c>
      <c r="I29" s="5"/>
    </row>
    <row r="30" spans="1:9" ht="72" x14ac:dyDescent="0.3">
      <c r="A30" s="53"/>
      <c r="B30" s="54"/>
      <c r="C30" s="55"/>
      <c r="D30" s="61"/>
      <c r="E30" s="5" t="s">
        <v>49</v>
      </c>
      <c r="F30" s="17">
        <v>0.625</v>
      </c>
      <c r="G30" s="32"/>
      <c r="H30" s="32">
        <f t="shared" si="0"/>
        <v>0</v>
      </c>
      <c r="I30" s="5"/>
    </row>
    <row r="31" spans="1:9" ht="43.2" x14ac:dyDescent="0.3">
      <c r="A31" s="53"/>
      <c r="B31" s="54"/>
      <c r="C31" s="55"/>
      <c r="D31" s="61"/>
      <c r="E31" s="5" t="s">
        <v>44</v>
      </c>
      <c r="F31" s="17">
        <v>0.5</v>
      </c>
      <c r="G31" s="32"/>
      <c r="H31" s="32">
        <f t="shared" si="0"/>
        <v>0</v>
      </c>
      <c r="I31" s="5"/>
    </row>
    <row r="32" spans="1:9" x14ac:dyDescent="0.3">
      <c r="A32" s="53"/>
      <c r="B32" s="54"/>
      <c r="C32" s="55"/>
      <c r="D32" s="61"/>
      <c r="E32" s="5" t="s">
        <v>45</v>
      </c>
      <c r="F32" s="17">
        <v>0.45</v>
      </c>
      <c r="G32" s="32"/>
      <c r="H32" s="32">
        <f t="shared" si="0"/>
        <v>0</v>
      </c>
      <c r="I32" s="5"/>
    </row>
    <row r="33" spans="1:9" ht="28.8" x14ac:dyDescent="0.3">
      <c r="A33" s="53"/>
      <c r="B33" s="54"/>
      <c r="C33" s="55"/>
      <c r="D33" s="61"/>
      <c r="E33" s="5" t="s">
        <v>50</v>
      </c>
      <c r="F33" s="17">
        <v>0.375</v>
      </c>
      <c r="G33" s="32"/>
      <c r="H33" s="32">
        <f t="shared" si="0"/>
        <v>0</v>
      </c>
      <c r="I33" s="5"/>
    </row>
    <row r="34" spans="1:9" ht="28.8" x14ac:dyDescent="0.3">
      <c r="A34" s="53"/>
      <c r="B34" s="54"/>
      <c r="C34" s="55"/>
      <c r="D34" s="61"/>
      <c r="E34" s="5" t="s">
        <v>47</v>
      </c>
      <c r="F34" s="17">
        <v>0.25</v>
      </c>
      <c r="G34" s="32"/>
      <c r="H34" s="32">
        <f t="shared" si="0"/>
        <v>0</v>
      </c>
      <c r="I34" s="5"/>
    </row>
    <row r="35" spans="1:9" ht="28.8" x14ac:dyDescent="0.3">
      <c r="A35" s="53"/>
      <c r="B35" s="54"/>
      <c r="C35" s="55"/>
      <c r="D35" s="62"/>
      <c r="E35" s="5" t="s">
        <v>46</v>
      </c>
      <c r="F35" s="17">
        <v>0.125</v>
      </c>
      <c r="G35" s="32"/>
      <c r="H35" s="32">
        <f t="shared" si="0"/>
        <v>0</v>
      </c>
      <c r="I35" s="5"/>
    </row>
    <row r="36" spans="1:9" x14ac:dyDescent="0.3">
      <c r="A36" s="15"/>
      <c r="B36" s="18"/>
      <c r="C36" s="5"/>
      <c r="D36" s="15"/>
      <c r="E36" s="16"/>
      <c r="F36" s="15"/>
      <c r="G36" s="32"/>
      <c r="H36" s="32"/>
      <c r="I36" s="16"/>
    </row>
    <row r="37" spans="1:9" x14ac:dyDescent="0.3">
      <c r="A37" s="53">
        <v>2</v>
      </c>
      <c r="B37" s="54" t="s">
        <v>3</v>
      </c>
      <c r="C37" s="55" t="s">
        <v>84</v>
      </c>
      <c r="D37" s="56">
        <v>0.1</v>
      </c>
      <c r="E37" s="25" t="s">
        <v>18</v>
      </c>
      <c r="F37" s="19">
        <v>1</v>
      </c>
      <c r="G37" s="32"/>
      <c r="H37" s="32">
        <f>G37*$D$37</f>
        <v>0</v>
      </c>
      <c r="I37" s="25"/>
    </row>
    <row r="38" spans="1:9" x14ac:dyDescent="0.3">
      <c r="A38" s="53"/>
      <c r="B38" s="54"/>
      <c r="C38" s="55"/>
      <c r="D38" s="56"/>
      <c r="E38" s="25" t="s">
        <v>19</v>
      </c>
      <c r="F38" s="19">
        <v>0.5</v>
      </c>
      <c r="G38" s="19"/>
      <c r="H38" s="32">
        <f>G38*$D$37</f>
        <v>0</v>
      </c>
      <c r="I38" s="25"/>
    </row>
    <row r="39" spans="1:9" x14ac:dyDescent="0.3">
      <c r="A39" s="53"/>
      <c r="B39" s="54"/>
      <c r="C39" s="55"/>
      <c r="D39" s="56"/>
      <c r="E39" s="16" t="s">
        <v>20</v>
      </c>
      <c r="F39" s="19">
        <v>0</v>
      </c>
      <c r="G39" s="32"/>
      <c r="H39" s="32">
        <f>G39*$D$37</f>
        <v>0</v>
      </c>
      <c r="I39" s="16"/>
    </row>
    <row r="40" spans="1:9" x14ac:dyDescent="0.3">
      <c r="A40" s="15"/>
      <c r="B40" s="18"/>
      <c r="C40" s="5"/>
      <c r="D40" s="15"/>
      <c r="E40" s="16"/>
      <c r="F40" s="15"/>
      <c r="G40" s="32"/>
      <c r="H40" s="32"/>
      <c r="I40" s="16"/>
    </row>
    <row r="41" spans="1:9" x14ac:dyDescent="0.3">
      <c r="A41" s="53">
        <v>3</v>
      </c>
      <c r="B41" s="54" t="s">
        <v>4</v>
      </c>
      <c r="C41" s="55" t="s">
        <v>21</v>
      </c>
      <c r="D41" s="56">
        <v>0.1</v>
      </c>
      <c r="E41" s="16" t="s">
        <v>81</v>
      </c>
      <c r="F41" s="19">
        <v>1</v>
      </c>
      <c r="G41" s="32"/>
      <c r="H41" s="32">
        <f>G41*$D$41</f>
        <v>0</v>
      </c>
      <c r="I41" s="16"/>
    </row>
    <row r="42" spans="1:9" x14ac:dyDescent="0.3">
      <c r="A42" s="53"/>
      <c r="B42" s="54"/>
      <c r="C42" s="55"/>
      <c r="D42" s="56"/>
      <c r="E42" s="16" t="s">
        <v>85</v>
      </c>
      <c r="F42" s="19">
        <v>0.75</v>
      </c>
      <c r="G42" s="19"/>
      <c r="H42" s="32">
        <f>G42*$D$41</f>
        <v>0</v>
      </c>
      <c r="I42" s="16"/>
    </row>
    <row r="43" spans="1:9" x14ac:dyDescent="0.3">
      <c r="A43" s="53"/>
      <c r="B43" s="54"/>
      <c r="C43" s="55"/>
      <c r="D43" s="56"/>
      <c r="E43" s="16" t="s">
        <v>86</v>
      </c>
      <c r="F43" s="19">
        <v>0.5</v>
      </c>
      <c r="G43" s="32"/>
      <c r="H43" s="32">
        <f>G43*$D$41</f>
        <v>0</v>
      </c>
      <c r="I43" s="16"/>
    </row>
    <row r="44" spans="1:9" x14ac:dyDescent="0.3">
      <c r="A44" s="15"/>
      <c r="B44" s="18"/>
      <c r="C44" s="5"/>
      <c r="D44" s="15"/>
      <c r="E44" s="16"/>
      <c r="F44" s="15"/>
      <c r="G44" s="32"/>
      <c r="H44" s="32"/>
      <c r="I44" s="16"/>
    </row>
    <row r="45" spans="1:9" x14ac:dyDescent="0.3">
      <c r="A45" s="53">
        <v>4</v>
      </c>
      <c r="B45" s="54" t="s">
        <v>22</v>
      </c>
      <c r="C45" s="55" t="s">
        <v>23</v>
      </c>
      <c r="D45" s="56">
        <v>0.1</v>
      </c>
      <c r="E45" s="16" t="s">
        <v>87</v>
      </c>
      <c r="F45" s="19">
        <v>1</v>
      </c>
      <c r="G45" s="32"/>
      <c r="H45" s="32">
        <f>G45*$D$45</f>
        <v>0</v>
      </c>
      <c r="I45" s="16"/>
    </row>
    <row r="46" spans="1:9" x14ac:dyDescent="0.3">
      <c r="A46" s="53"/>
      <c r="B46" s="54"/>
      <c r="C46" s="55"/>
      <c r="D46" s="56"/>
      <c r="E46" s="16" t="s">
        <v>88</v>
      </c>
      <c r="F46" s="19">
        <v>0.5</v>
      </c>
      <c r="G46" s="32"/>
      <c r="H46" s="32">
        <f>G46*$D$45</f>
        <v>0</v>
      </c>
      <c r="I46" s="16"/>
    </row>
    <row r="47" spans="1:9" x14ac:dyDescent="0.3">
      <c r="A47" s="53"/>
      <c r="B47" s="54"/>
      <c r="C47" s="55"/>
      <c r="D47" s="56"/>
      <c r="E47" s="16" t="s">
        <v>24</v>
      </c>
      <c r="F47" s="19">
        <v>0.1</v>
      </c>
      <c r="G47" s="19"/>
      <c r="H47" s="32">
        <f>G47*$D$45</f>
        <v>0</v>
      </c>
      <c r="I47" s="16"/>
    </row>
    <row r="48" spans="1:9" x14ac:dyDescent="0.3">
      <c r="A48" s="15"/>
      <c r="B48" s="18"/>
      <c r="C48" s="5"/>
      <c r="D48" s="15"/>
      <c r="E48" s="16"/>
      <c r="F48" s="15"/>
      <c r="G48" s="32"/>
      <c r="H48" s="32"/>
      <c r="I48" s="16"/>
    </row>
    <row r="49" spans="1:9" x14ac:dyDescent="0.3">
      <c r="A49" s="53">
        <v>5</v>
      </c>
      <c r="B49" s="54" t="s">
        <v>6</v>
      </c>
      <c r="C49" s="39" t="s">
        <v>25</v>
      </c>
      <c r="D49" s="56">
        <v>0.05</v>
      </c>
      <c r="E49" s="16" t="s">
        <v>26</v>
      </c>
      <c r="F49" s="19">
        <v>1</v>
      </c>
      <c r="G49" s="32"/>
      <c r="H49" s="32">
        <f>G49*$D$49</f>
        <v>0</v>
      </c>
      <c r="I49" s="16"/>
    </row>
    <row r="50" spans="1:9" x14ac:dyDescent="0.3">
      <c r="A50" s="53"/>
      <c r="B50" s="54"/>
      <c r="C50" s="40"/>
      <c r="D50" s="56"/>
      <c r="E50" s="16" t="s">
        <v>89</v>
      </c>
      <c r="F50" s="19">
        <v>0.8</v>
      </c>
      <c r="G50" s="19"/>
      <c r="H50" s="32">
        <f>G50*$D$49</f>
        <v>0</v>
      </c>
      <c r="I50" s="16"/>
    </row>
    <row r="51" spans="1:9" x14ac:dyDescent="0.3">
      <c r="A51" s="53"/>
      <c r="B51" s="54"/>
      <c r="C51" s="41"/>
      <c r="D51" s="56"/>
      <c r="E51" s="16" t="s">
        <v>90</v>
      </c>
      <c r="F51" s="19">
        <v>0.5</v>
      </c>
      <c r="G51" s="32"/>
      <c r="H51" s="32">
        <f>G51*$D$49</f>
        <v>0</v>
      </c>
      <c r="I51" s="16"/>
    </row>
    <row r="52" spans="1:9" x14ac:dyDescent="0.3">
      <c r="A52" s="15"/>
      <c r="B52" s="18"/>
      <c r="C52" s="5"/>
      <c r="D52" s="15"/>
      <c r="E52" s="16"/>
      <c r="F52" s="15"/>
      <c r="G52" s="32"/>
      <c r="H52" s="32"/>
      <c r="I52" s="16"/>
    </row>
    <row r="53" spans="1:9" x14ac:dyDescent="0.3">
      <c r="A53" s="53">
        <v>6</v>
      </c>
      <c r="B53" s="54" t="s">
        <v>7</v>
      </c>
      <c r="C53" s="55" t="s">
        <v>27</v>
      </c>
      <c r="D53" s="56">
        <v>0.1</v>
      </c>
      <c r="E53" s="16" t="s">
        <v>28</v>
      </c>
      <c r="F53" s="19">
        <v>1</v>
      </c>
      <c r="G53" s="19"/>
      <c r="H53" s="32">
        <f>G53*$D$53</f>
        <v>0</v>
      </c>
      <c r="I53" s="16"/>
    </row>
    <row r="54" spans="1:9" x14ac:dyDescent="0.3">
      <c r="A54" s="53"/>
      <c r="B54" s="54"/>
      <c r="C54" s="55"/>
      <c r="D54" s="56"/>
      <c r="E54" s="16" t="s">
        <v>29</v>
      </c>
      <c r="F54" s="19">
        <v>0.5</v>
      </c>
      <c r="G54" s="32"/>
      <c r="H54" s="32">
        <f>G54*$D$53</f>
        <v>0</v>
      </c>
      <c r="I54" s="16"/>
    </row>
    <row r="55" spans="1:9" x14ac:dyDescent="0.3">
      <c r="A55" s="15"/>
      <c r="B55" s="20"/>
      <c r="C55" s="5"/>
      <c r="D55" s="15"/>
      <c r="E55" s="16"/>
      <c r="F55" s="15"/>
      <c r="G55" s="32"/>
      <c r="H55" s="32"/>
      <c r="I55" s="16"/>
    </row>
    <row r="56" spans="1:9" x14ac:dyDescent="0.3">
      <c r="A56" s="53">
        <v>7</v>
      </c>
      <c r="B56" s="63" t="s">
        <v>30</v>
      </c>
      <c r="C56" s="48" t="s">
        <v>31</v>
      </c>
      <c r="D56" s="52">
        <v>0.02</v>
      </c>
      <c r="E56" s="16" t="s">
        <v>32</v>
      </c>
      <c r="F56" s="19">
        <v>1</v>
      </c>
      <c r="G56" s="32"/>
      <c r="H56" s="32">
        <f>G56*$D$56</f>
        <v>0</v>
      </c>
      <c r="I56" s="16"/>
    </row>
    <row r="57" spans="1:9" x14ac:dyDescent="0.3">
      <c r="A57" s="53"/>
      <c r="B57" s="63"/>
      <c r="C57" s="48"/>
      <c r="D57" s="52"/>
      <c r="E57" s="16" t="s">
        <v>33</v>
      </c>
      <c r="F57" s="19">
        <v>0.5</v>
      </c>
      <c r="G57" s="19"/>
      <c r="H57" s="32">
        <f>G57*$D$56</f>
        <v>0</v>
      </c>
      <c r="I57" s="16"/>
    </row>
    <row r="58" spans="1:9" x14ac:dyDescent="0.3">
      <c r="A58" s="16"/>
      <c r="B58" s="16"/>
      <c r="C58" s="5"/>
      <c r="D58" s="15"/>
      <c r="E58" s="16"/>
      <c r="F58" s="15"/>
      <c r="G58" s="32"/>
      <c r="H58" s="32"/>
      <c r="I58" s="16"/>
    </row>
    <row r="59" spans="1:9" x14ac:dyDescent="0.3">
      <c r="A59" s="45">
        <v>8</v>
      </c>
      <c r="B59" s="48" t="s">
        <v>51</v>
      </c>
      <c r="C59" s="48" t="s">
        <v>52</v>
      </c>
      <c r="D59" s="49">
        <v>0.03</v>
      </c>
      <c r="E59" s="16" t="s">
        <v>91</v>
      </c>
      <c r="F59" s="19">
        <v>1</v>
      </c>
      <c r="G59" s="19"/>
      <c r="H59" s="32">
        <f>G59*$D$59</f>
        <v>0</v>
      </c>
      <c r="I59" s="16"/>
    </row>
    <row r="60" spans="1:9" x14ac:dyDescent="0.3">
      <c r="A60" s="46"/>
      <c r="B60" s="48"/>
      <c r="C60" s="48"/>
      <c r="D60" s="50"/>
      <c r="E60" s="16" t="s">
        <v>53</v>
      </c>
      <c r="F60" s="19">
        <v>0.5</v>
      </c>
      <c r="G60" s="32"/>
      <c r="H60" s="32">
        <f>G60*$D$59</f>
        <v>0</v>
      </c>
      <c r="I60" s="16"/>
    </row>
    <row r="61" spans="1:9" x14ac:dyDescent="0.3">
      <c r="A61" s="47"/>
      <c r="B61" s="48"/>
      <c r="C61" s="48"/>
      <c r="D61" s="51"/>
      <c r="E61" s="16" t="s">
        <v>54</v>
      </c>
      <c r="F61" s="19">
        <v>0</v>
      </c>
      <c r="G61" s="32"/>
      <c r="H61" s="32">
        <f>G61*$D$59</f>
        <v>0</v>
      </c>
      <c r="I61" s="16"/>
    </row>
    <row r="62" spans="1:9" x14ac:dyDescent="0.3">
      <c r="A62" s="29"/>
      <c r="B62" s="28"/>
      <c r="C62" s="22"/>
      <c r="D62" s="26"/>
      <c r="E62" s="16"/>
      <c r="F62" s="19"/>
      <c r="G62" s="32"/>
      <c r="H62" s="34"/>
      <c r="I62" s="16"/>
    </row>
    <row r="63" spans="1:9" x14ac:dyDescent="0.3">
      <c r="A63" s="45">
        <v>9</v>
      </c>
      <c r="B63" s="39" t="s">
        <v>55</v>
      </c>
      <c r="C63" s="39" t="s">
        <v>56</v>
      </c>
      <c r="D63" s="49">
        <v>0.05</v>
      </c>
      <c r="E63" s="16" t="s">
        <v>57</v>
      </c>
      <c r="F63" s="19">
        <v>1</v>
      </c>
      <c r="G63" s="32"/>
      <c r="H63" s="32">
        <f>G63*$D$63</f>
        <v>0</v>
      </c>
      <c r="I63" s="16"/>
    </row>
    <row r="64" spans="1:9" x14ac:dyDescent="0.3">
      <c r="A64" s="46"/>
      <c r="B64" s="40"/>
      <c r="C64" s="40"/>
      <c r="D64" s="50"/>
      <c r="E64" s="16" t="s">
        <v>58</v>
      </c>
      <c r="F64" s="19">
        <v>0.75</v>
      </c>
      <c r="G64" s="19"/>
      <c r="H64" s="32">
        <f>G64*$D$63</f>
        <v>0</v>
      </c>
      <c r="I64" s="16"/>
    </row>
    <row r="65" spans="1:9" x14ac:dyDescent="0.3">
      <c r="A65" s="46"/>
      <c r="B65" s="40"/>
      <c r="C65" s="40"/>
      <c r="D65" s="51"/>
      <c r="E65" s="30">
        <v>0.1</v>
      </c>
      <c r="F65" s="19">
        <v>0.5</v>
      </c>
      <c r="G65" s="32"/>
      <c r="H65" s="32">
        <f>G65*$D$63</f>
        <v>0</v>
      </c>
      <c r="I65" s="16"/>
    </row>
    <row r="66" spans="1:9" x14ac:dyDescent="0.3">
      <c r="A66" s="16"/>
      <c r="B66" s="16"/>
      <c r="C66" s="5"/>
      <c r="D66" s="16"/>
      <c r="E66" s="16"/>
      <c r="F66" s="15"/>
      <c r="G66" s="32"/>
      <c r="H66" s="32"/>
      <c r="I66" s="16"/>
    </row>
    <row r="67" spans="1:9" x14ac:dyDescent="0.3">
      <c r="A67" s="45">
        <v>10</v>
      </c>
      <c r="B67" s="39" t="s">
        <v>59</v>
      </c>
      <c r="C67" s="40" t="s">
        <v>60</v>
      </c>
      <c r="D67" s="49">
        <v>0.05</v>
      </c>
      <c r="E67" s="16" t="s">
        <v>61</v>
      </c>
      <c r="F67" s="19">
        <v>1</v>
      </c>
      <c r="G67" s="19"/>
      <c r="H67" s="32">
        <f>G67*$D$67</f>
        <v>0</v>
      </c>
      <c r="I67" s="16"/>
    </row>
    <row r="68" spans="1:9" x14ac:dyDescent="0.3">
      <c r="A68" s="46"/>
      <c r="B68" s="40"/>
      <c r="C68" s="40"/>
      <c r="D68" s="50"/>
      <c r="E68" s="16" t="s">
        <v>62</v>
      </c>
      <c r="F68" s="19">
        <v>0.9</v>
      </c>
      <c r="G68" s="32"/>
      <c r="H68" s="32">
        <f>G68*$D$67</f>
        <v>0</v>
      </c>
      <c r="I68" s="16"/>
    </row>
    <row r="69" spans="1:9" x14ac:dyDescent="0.3">
      <c r="A69" s="47"/>
      <c r="B69" s="41"/>
      <c r="C69" s="41"/>
      <c r="D69" s="51"/>
      <c r="E69" s="16" t="s">
        <v>63</v>
      </c>
      <c r="F69" s="19">
        <v>0.8</v>
      </c>
      <c r="G69" s="32"/>
      <c r="H69" s="32">
        <f>G69*$D$67</f>
        <v>0</v>
      </c>
      <c r="I69" s="16"/>
    </row>
    <row r="70" spans="1:9" x14ac:dyDescent="0.3">
      <c r="A70" s="16"/>
      <c r="B70" s="16"/>
      <c r="C70" s="5"/>
      <c r="D70" s="15"/>
      <c r="E70" s="16"/>
      <c r="F70" s="15"/>
      <c r="G70" s="32"/>
      <c r="H70" s="32"/>
      <c r="I70" s="16"/>
    </row>
    <row r="71" spans="1:9" x14ac:dyDescent="0.3">
      <c r="A71" s="45">
        <v>11</v>
      </c>
      <c r="B71" s="42" t="s">
        <v>64</v>
      </c>
      <c r="C71" s="39" t="s">
        <v>92</v>
      </c>
      <c r="D71" s="49">
        <v>0.03</v>
      </c>
      <c r="E71" s="16" t="s">
        <v>65</v>
      </c>
      <c r="F71" s="19">
        <v>1</v>
      </c>
      <c r="G71" s="32"/>
      <c r="H71" s="32">
        <f>G71*$D$71</f>
        <v>0</v>
      </c>
      <c r="I71" s="16"/>
    </row>
    <row r="72" spans="1:9" x14ac:dyDescent="0.3">
      <c r="A72" s="46"/>
      <c r="B72" s="43"/>
      <c r="C72" s="40"/>
      <c r="D72" s="50"/>
      <c r="E72" s="16" t="s">
        <v>66</v>
      </c>
      <c r="F72" s="19">
        <v>0.9</v>
      </c>
      <c r="G72" s="32"/>
      <c r="H72" s="32">
        <f>G72*$D$71</f>
        <v>0</v>
      </c>
      <c r="I72" s="16"/>
    </row>
    <row r="73" spans="1:9" x14ac:dyDescent="0.3">
      <c r="A73" s="46"/>
      <c r="B73" s="43"/>
      <c r="C73" s="40"/>
      <c r="D73" s="50"/>
      <c r="E73" s="16" t="s">
        <v>93</v>
      </c>
      <c r="F73" s="19">
        <v>0.8</v>
      </c>
      <c r="G73" s="19"/>
      <c r="H73" s="32">
        <f>G73*$D$71</f>
        <v>0</v>
      </c>
      <c r="I73" s="16"/>
    </row>
    <row r="74" spans="1:9" x14ac:dyDescent="0.3">
      <c r="A74" s="47"/>
      <c r="B74" s="44"/>
      <c r="C74" s="41"/>
      <c r="D74" s="51"/>
      <c r="E74" s="16" t="s">
        <v>67</v>
      </c>
      <c r="F74" s="19">
        <v>0.7</v>
      </c>
      <c r="G74" s="32"/>
      <c r="H74" s="32">
        <f>G74*$D$71</f>
        <v>0</v>
      </c>
      <c r="I74" s="16"/>
    </row>
    <row r="75" spans="1:9" x14ac:dyDescent="0.3">
      <c r="A75" s="16"/>
      <c r="B75" s="16"/>
      <c r="C75" s="5"/>
      <c r="D75" s="15"/>
      <c r="E75" s="16"/>
      <c r="F75" s="15"/>
      <c r="G75" s="32"/>
      <c r="H75" s="32"/>
      <c r="I75" s="16"/>
    </row>
    <row r="76" spans="1:9" x14ac:dyDescent="0.3">
      <c r="A76" s="45">
        <v>12</v>
      </c>
      <c r="B76" s="39" t="s">
        <v>68</v>
      </c>
      <c r="C76" s="39" t="s">
        <v>69</v>
      </c>
      <c r="D76" s="49">
        <v>0.02</v>
      </c>
      <c r="E76" s="16" t="s">
        <v>70</v>
      </c>
      <c r="F76" s="19">
        <v>1</v>
      </c>
      <c r="G76" s="32"/>
      <c r="H76" s="32">
        <f>G76*$D$76</f>
        <v>0</v>
      </c>
      <c r="I76" s="16"/>
    </row>
    <row r="77" spans="1:9" x14ac:dyDescent="0.3">
      <c r="A77" s="46"/>
      <c r="B77" s="40"/>
      <c r="C77" s="40"/>
      <c r="D77" s="50"/>
      <c r="E77" s="16" t="s">
        <v>71</v>
      </c>
      <c r="F77" s="19">
        <v>0.75</v>
      </c>
      <c r="G77" s="19"/>
      <c r="H77" s="32">
        <f t="shared" ref="H77:H80" si="1">G77*$D$76</f>
        <v>0</v>
      </c>
      <c r="I77" s="16"/>
    </row>
    <row r="78" spans="1:9" x14ac:dyDescent="0.3">
      <c r="A78" s="46"/>
      <c r="B78" s="40"/>
      <c r="C78" s="40"/>
      <c r="D78" s="50"/>
      <c r="E78" s="16" t="s">
        <v>72</v>
      </c>
      <c r="F78" s="19">
        <v>0.5</v>
      </c>
      <c r="G78" s="32"/>
      <c r="H78" s="32">
        <f t="shared" si="1"/>
        <v>0</v>
      </c>
      <c r="I78" s="16"/>
    </row>
    <row r="79" spans="1:9" x14ac:dyDescent="0.3">
      <c r="A79" s="46"/>
      <c r="B79" s="40"/>
      <c r="C79" s="40"/>
      <c r="D79" s="50"/>
      <c r="E79" s="16" t="s">
        <v>73</v>
      </c>
      <c r="F79" s="19">
        <v>0.25</v>
      </c>
      <c r="G79" s="32"/>
      <c r="H79" s="32">
        <f t="shared" si="1"/>
        <v>0</v>
      </c>
      <c r="I79" s="16"/>
    </row>
    <row r="80" spans="1:9" x14ac:dyDescent="0.3">
      <c r="A80" s="47"/>
      <c r="B80" s="41"/>
      <c r="C80" s="41"/>
      <c r="D80" s="51"/>
      <c r="E80" s="16" t="s">
        <v>74</v>
      </c>
      <c r="F80" s="19">
        <v>0</v>
      </c>
      <c r="G80" s="32"/>
      <c r="H80" s="32">
        <f t="shared" si="1"/>
        <v>0</v>
      </c>
      <c r="I80" s="16"/>
    </row>
    <row r="81" spans="1:9" x14ac:dyDescent="0.3">
      <c r="A81" s="16"/>
      <c r="B81" s="16"/>
      <c r="C81" s="5"/>
      <c r="D81" s="15"/>
      <c r="E81" s="16"/>
      <c r="F81" s="15"/>
      <c r="G81" s="32"/>
      <c r="H81" s="32"/>
      <c r="I81" s="16"/>
    </row>
    <row r="82" spans="1:9" x14ac:dyDescent="0.3">
      <c r="A82" s="45">
        <v>13</v>
      </c>
      <c r="B82" s="42" t="s">
        <v>75</v>
      </c>
      <c r="C82" s="39" t="s">
        <v>78</v>
      </c>
      <c r="D82" s="36">
        <v>0.05</v>
      </c>
      <c r="E82" s="16" t="s">
        <v>76</v>
      </c>
      <c r="F82" s="19">
        <v>1</v>
      </c>
      <c r="G82" s="19"/>
      <c r="H82" s="32">
        <f>G82*$D$82</f>
        <v>0</v>
      </c>
      <c r="I82" s="16"/>
    </row>
    <row r="83" spans="1:9" x14ac:dyDescent="0.3">
      <c r="A83" s="46"/>
      <c r="B83" s="43"/>
      <c r="C83" s="40"/>
      <c r="D83" s="37"/>
      <c r="E83" s="16" t="s">
        <v>77</v>
      </c>
      <c r="F83" s="19">
        <v>0.9</v>
      </c>
      <c r="G83" s="19"/>
      <c r="H83" s="32">
        <f>G83*$D$82</f>
        <v>0</v>
      </c>
      <c r="I83" s="16"/>
    </row>
    <row r="84" spans="1:9" x14ac:dyDescent="0.3">
      <c r="A84" s="47"/>
      <c r="B84" s="44"/>
      <c r="C84" s="41"/>
      <c r="D84" s="38"/>
      <c r="E84" s="16" t="s">
        <v>79</v>
      </c>
      <c r="F84" s="32">
        <v>0.7</v>
      </c>
      <c r="G84" s="32"/>
      <c r="H84" s="32">
        <f>G84*$D$82</f>
        <v>0</v>
      </c>
      <c r="I84" s="16"/>
    </row>
    <row r="85" spans="1:9" x14ac:dyDescent="0.3">
      <c r="A85" s="29"/>
      <c r="B85" s="29"/>
      <c r="C85" s="31"/>
      <c r="D85" s="33"/>
      <c r="E85" s="16"/>
      <c r="F85" s="32"/>
      <c r="G85" s="32"/>
      <c r="H85" s="32"/>
      <c r="I85" s="16"/>
    </row>
    <row r="86" spans="1:9" x14ac:dyDescent="0.3">
      <c r="A86" s="45">
        <v>14</v>
      </c>
      <c r="B86" s="42" t="s">
        <v>96</v>
      </c>
      <c r="C86" s="39" t="s">
        <v>101</v>
      </c>
      <c r="D86" s="36">
        <v>0.05</v>
      </c>
      <c r="E86" s="16" t="s">
        <v>97</v>
      </c>
      <c r="F86" s="32">
        <v>1</v>
      </c>
      <c r="G86" s="32"/>
      <c r="H86" s="32">
        <f>G86*$D$86</f>
        <v>0</v>
      </c>
      <c r="I86" s="16"/>
    </row>
    <row r="87" spans="1:9" x14ac:dyDescent="0.3">
      <c r="A87" s="46"/>
      <c r="B87" s="43"/>
      <c r="C87" s="40"/>
      <c r="D87" s="37"/>
      <c r="E87" s="16" t="s">
        <v>98</v>
      </c>
      <c r="F87" s="32">
        <v>0.9</v>
      </c>
      <c r="G87" s="32"/>
      <c r="H87" s="32">
        <f t="shared" ref="H87:H89" si="2">G87*$D$86</f>
        <v>0</v>
      </c>
      <c r="I87" s="16"/>
    </row>
    <row r="88" spans="1:9" x14ac:dyDescent="0.3">
      <c r="A88" s="46"/>
      <c r="B88" s="43"/>
      <c r="C88" s="40"/>
      <c r="D88" s="37"/>
      <c r="E88" s="16" t="s">
        <v>99</v>
      </c>
      <c r="F88" s="32">
        <v>0.8</v>
      </c>
      <c r="G88" s="32"/>
      <c r="H88" s="32">
        <f t="shared" si="2"/>
        <v>0</v>
      </c>
      <c r="I88" s="16"/>
    </row>
    <row r="89" spans="1:9" x14ac:dyDescent="0.3">
      <c r="A89" s="47"/>
      <c r="B89" s="44"/>
      <c r="C89" s="41"/>
      <c r="D89" s="38"/>
      <c r="E89" s="16" t="s">
        <v>100</v>
      </c>
      <c r="F89" s="32">
        <v>0.7</v>
      </c>
      <c r="G89" s="32"/>
      <c r="H89" s="32">
        <f t="shared" si="2"/>
        <v>0</v>
      </c>
      <c r="I89" s="16"/>
    </row>
    <row r="90" spans="1:9" x14ac:dyDescent="0.3">
      <c r="A90" s="29"/>
      <c r="B90" s="29"/>
      <c r="C90" s="31"/>
      <c r="D90" s="33"/>
      <c r="E90" s="16"/>
      <c r="F90" s="32"/>
      <c r="G90" s="32"/>
      <c r="H90" s="32"/>
      <c r="I90" s="16"/>
    </row>
    <row r="91" spans="1:9" x14ac:dyDescent="0.3">
      <c r="A91" s="45">
        <v>15</v>
      </c>
      <c r="B91" s="39" t="s">
        <v>102</v>
      </c>
      <c r="C91" s="39" t="s">
        <v>103</v>
      </c>
      <c r="D91" s="36">
        <v>0.05</v>
      </c>
      <c r="E91" s="2" t="s">
        <v>104</v>
      </c>
      <c r="F91" s="32">
        <v>1</v>
      </c>
      <c r="G91" s="32"/>
      <c r="H91" s="32">
        <f>G91*$D$91</f>
        <v>0</v>
      </c>
      <c r="I91" s="16"/>
    </row>
    <row r="92" spans="1:9" x14ac:dyDescent="0.3">
      <c r="A92" s="46"/>
      <c r="B92" s="40"/>
      <c r="C92" s="40"/>
      <c r="D92" s="37"/>
      <c r="E92" s="16" t="s">
        <v>107</v>
      </c>
      <c r="F92" s="32">
        <v>0.75</v>
      </c>
      <c r="G92" s="32"/>
      <c r="H92" s="32">
        <f t="shared" ref="H92:H95" si="3">G92*$D$91</f>
        <v>0</v>
      </c>
      <c r="I92" s="16"/>
    </row>
    <row r="93" spans="1:9" x14ac:dyDescent="0.3">
      <c r="A93" s="46"/>
      <c r="B93" s="40"/>
      <c r="C93" s="40"/>
      <c r="D93" s="37"/>
      <c r="E93" s="16" t="s">
        <v>105</v>
      </c>
      <c r="F93" s="32">
        <v>0.5</v>
      </c>
      <c r="G93" s="32"/>
      <c r="H93" s="32">
        <f t="shared" si="3"/>
        <v>0</v>
      </c>
      <c r="I93" s="16"/>
    </row>
    <row r="94" spans="1:9" x14ac:dyDescent="0.3">
      <c r="A94" s="46"/>
      <c r="B94" s="40"/>
      <c r="C94" s="40"/>
      <c r="D94" s="37"/>
      <c r="E94" s="16" t="s">
        <v>108</v>
      </c>
      <c r="F94" s="32">
        <v>0.25</v>
      </c>
      <c r="G94" s="32"/>
      <c r="H94" s="32">
        <f t="shared" si="3"/>
        <v>0</v>
      </c>
      <c r="I94" s="16"/>
    </row>
    <row r="95" spans="1:9" x14ac:dyDescent="0.3">
      <c r="A95" s="47"/>
      <c r="B95" s="41"/>
      <c r="C95" s="41"/>
      <c r="D95" s="38"/>
      <c r="E95" s="16" t="s">
        <v>106</v>
      </c>
      <c r="F95" s="19">
        <v>0</v>
      </c>
      <c r="G95" s="15"/>
      <c r="H95" s="32">
        <f t="shared" si="3"/>
        <v>0</v>
      </c>
      <c r="I95" s="16"/>
    </row>
    <row r="96" spans="1:9" x14ac:dyDescent="0.3">
      <c r="A96" s="16"/>
      <c r="B96" s="16"/>
      <c r="C96" s="5"/>
      <c r="D96" s="15"/>
      <c r="E96" s="16"/>
      <c r="F96" s="19"/>
      <c r="G96" s="15"/>
      <c r="H96" s="32"/>
      <c r="I96" s="16"/>
    </row>
    <row r="97" spans="1:9" x14ac:dyDescent="0.3">
      <c r="A97" s="15"/>
      <c r="B97" s="16"/>
      <c r="C97" s="7" t="s">
        <v>34</v>
      </c>
      <c r="D97" s="26">
        <f>SUM(D27:D95)</f>
        <v>1.0000000000000002</v>
      </c>
      <c r="E97" s="16"/>
      <c r="F97" s="15"/>
      <c r="G97" s="15"/>
      <c r="H97" s="27">
        <f>SUM(H27:H95)</f>
        <v>0</v>
      </c>
      <c r="I97" s="16"/>
    </row>
    <row r="98" spans="1:9" x14ac:dyDescent="0.3">
      <c r="A98" s="16"/>
      <c r="B98" s="16"/>
      <c r="C98" s="5"/>
      <c r="D98" s="15"/>
      <c r="E98" s="16"/>
      <c r="F98" s="15"/>
      <c r="G98" s="15"/>
      <c r="H98" s="15"/>
      <c r="I98" s="16"/>
    </row>
    <row r="100" spans="1:9" x14ac:dyDescent="0.3">
      <c r="B100" s="21" t="s">
        <v>16</v>
      </c>
      <c r="C100" s="13" t="s">
        <v>117</v>
      </c>
      <c r="D100" s="13" t="s">
        <v>35</v>
      </c>
    </row>
    <row r="101" spans="1:9" x14ac:dyDescent="0.3">
      <c r="B101" s="19" t="s">
        <v>36</v>
      </c>
      <c r="C101" s="28" t="s">
        <v>109</v>
      </c>
      <c r="D101" s="22" t="s">
        <v>113</v>
      </c>
      <c r="F101" s="2"/>
    </row>
    <row r="102" spans="1:9" x14ac:dyDescent="0.3">
      <c r="B102" s="15" t="s">
        <v>37</v>
      </c>
      <c r="C102" s="28" t="s">
        <v>110</v>
      </c>
      <c r="D102" s="22" t="s">
        <v>114</v>
      </c>
      <c r="F102" s="2"/>
    </row>
    <row r="103" spans="1:9" x14ac:dyDescent="0.3">
      <c r="B103" s="23" t="s">
        <v>38</v>
      </c>
      <c r="C103" s="28" t="s">
        <v>111</v>
      </c>
      <c r="D103" s="22" t="s">
        <v>115</v>
      </c>
      <c r="F103" s="2"/>
    </row>
    <row r="104" spans="1:9" x14ac:dyDescent="0.3">
      <c r="B104" s="17" t="s">
        <v>39</v>
      </c>
      <c r="C104" s="28" t="s">
        <v>112</v>
      </c>
      <c r="D104" s="22" t="s">
        <v>116</v>
      </c>
      <c r="F104" s="2"/>
    </row>
  </sheetData>
  <mergeCells count="83">
    <mergeCell ref="C18:D18"/>
    <mergeCell ref="C19:D19"/>
    <mergeCell ref="C13:D13"/>
    <mergeCell ref="C14:D14"/>
    <mergeCell ref="C15:D15"/>
    <mergeCell ref="C16:D16"/>
    <mergeCell ref="C17:D17"/>
    <mergeCell ref="C8:D8"/>
    <mergeCell ref="C9:D9"/>
    <mergeCell ref="C10:D10"/>
    <mergeCell ref="C11:D11"/>
    <mergeCell ref="C12:D12"/>
    <mergeCell ref="C3:D3"/>
    <mergeCell ref="C4:D4"/>
    <mergeCell ref="C5:D5"/>
    <mergeCell ref="C6:D6"/>
    <mergeCell ref="C7:D7"/>
    <mergeCell ref="A91:A95"/>
    <mergeCell ref="B91:B95"/>
    <mergeCell ref="C91:C95"/>
    <mergeCell ref="D91:D95"/>
    <mergeCell ref="C23:D23"/>
    <mergeCell ref="C82:C84"/>
    <mergeCell ref="D24:E24"/>
    <mergeCell ref="D71:D74"/>
    <mergeCell ref="D76:D80"/>
    <mergeCell ref="D67:D69"/>
    <mergeCell ref="A27:A35"/>
    <mergeCell ref="B27:B35"/>
    <mergeCell ref="C27:C35"/>
    <mergeCell ref="D27:D35"/>
    <mergeCell ref="A56:A57"/>
    <mergeCell ref="B56:B57"/>
    <mergeCell ref="A1:F1"/>
    <mergeCell ref="A53:A54"/>
    <mergeCell ref="B53:B54"/>
    <mergeCell ref="C53:C54"/>
    <mergeCell ref="D53:D54"/>
    <mergeCell ref="A37:A39"/>
    <mergeCell ref="B37:B39"/>
    <mergeCell ref="C37:C39"/>
    <mergeCell ref="D37:D39"/>
    <mergeCell ref="A41:A43"/>
    <mergeCell ref="B41:B43"/>
    <mergeCell ref="C41:C43"/>
    <mergeCell ref="D41:D43"/>
    <mergeCell ref="C20:D20"/>
    <mergeCell ref="C21:D21"/>
    <mergeCell ref="C22:D22"/>
    <mergeCell ref="C56:C57"/>
    <mergeCell ref="D56:D57"/>
    <mergeCell ref="A45:A47"/>
    <mergeCell ref="B45:B47"/>
    <mergeCell ref="C45:C47"/>
    <mergeCell ref="D45:D47"/>
    <mergeCell ref="A49:A51"/>
    <mergeCell ref="B49:B51"/>
    <mergeCell ref="C49:C51"/>
    <mergeCell ref="D49:D51"/>
    <mergeCell ref="B59:B61"/>
    <mergeCell ref="C59:C61"/>
    <mergeCell ref="D59:D61"/>
    <mergeCell ref="A59:A61"/>
    <mergeCell ref="C63:C65"/>
    <mergeCell ref="D63:D65"/>
    <mergeCell ref="B63:B65"/>
    <mergeCell ref="A63:A65"/>
    <mergeCell ref="A67:A69"/>
    <mergeCell ref="B76:B80"/>
    <mergeCell ref="C76:C80"/>
    <mergeCell ref="B71:B74"/>
    <mergeCell ref="C71:C74"/>
    <mergeCell ref="B67:B69"/>
    <mergeCell ref="C67:C69"/>
    <mergeCell ref="D86:D89"/>
    <mergeCell ref="C86:C89"/>
    <mergeCell ref="B86:B89"/>
    <mergeCell ref="A86:A89"/>
    <mergeCell ref="A71:A74"/>
    <mergeCell ref="A76:A80"/>
    <mergeCell ref="B82:B84"/>
    <mergeCell ref="A82:A84"/>
    <mergeCell ref="D82:D84"/>
  </mergeCells>
  <pageMargins left="0.55118110236220474" right="0.55118110236220474" top="0.55118110236220474" bottom="0.55118110236220474" header="0.31496062992125984" footer="0.31496062992125984"/>
  <pageSetup paperSize="9" scale="60" fitToHeight="0" orientation="landscape" r:id="rId1"/>
  <headerFooter>
    <oddFooter>&amp;C&amp;"Arial Narrow,Regular"Page &amp;P of &amp;N&amp;R&amp;"Arial Narrow,Regular"SIPL/Tender/Solar/25-26/V1.0</oddFooter>
  </headerFooter>
  <rowBreaks count="3" manualBreakCount="3">
    <brk id="31" max="16383" man="1"/>
    <brk id="55" max="16383" man="1"/>
    <brk id="8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Bid_NoBid_Strategy Sheet</vt:lpstr>
      <vt:lpstr>'Bid_NoBid_Strategy Sheet'!Print_Titles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surya.group5129@outlook.com</dc:creator>
  <cp:lastModifiedBy>surya.group5129@outlook.com</cp:lastModifiedBy>
  <cp:lastPrinted>2025-12-27T05:38:28Z</cp:lastPrinted>
  <dcterms:created xsi:type="dcterms:W3CDTF">2025-12-16T06:16:06Z</dcterms:created>
  <dcterms:modified xsi:type="dcterms:W3CDTF">2025-12-29T07:12:21Z</dcterms:modified>
</cp:coreProperties>
</file>